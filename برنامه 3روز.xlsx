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پروژه\BIOM\"/>
    </mc:Choice>
  </mc:AlternateContent>
  <xr:revisionPtr revIDLastSave="0" documentId="13_ncr:1_{627B0AE8-B354-4842-9043-EBCBBF63A137}" xr6:coauthVersionLast="47" xr6:coauthVersionMax="47" xr10:uidLastSave="{00000000-0000-0000-0000-000000000000}"/>
  <bookViews>
    <workbookView xWindow="-108" yWindow="-108" windowWidth="23256" windowHeight="12456" xr2:uid="{A8CBEA04-E467-4244-B969-9F4A58594BB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2" i="2"/>
  <c r="I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<sst xmlns="http://schemas.openxmlformats.org/spreadsheetml/2006/main" count="66" uniqueCount="23">
  <si>
    <t xml:space="preserve">تعداد برنامه </t>
  </si>
  <si>
    <t>نام ماشين</t>
  </si>
  <si>
    <t xml:space="preserve"> نام محصول</t>
  </si>
  <si>
    <t>کد محصول</t>
  </si>
  <si>
    <t>MIRAE(top)</t>
  </si>
  <si>
    <t>جلوآمپر کنترل ماشینی شده ICN1-DENA-HPT-THT</t>
  </si>
  <si>
    <t>جلوآمپر کنترل ماشینی شده ICN SOREN یکسان سازی</t>
  </si>
  <si>
    <t>SAMSUNG2(TOP)</t>
  </si>
  <si>
    <t>جلوآمپر کنترل ماشینی شده 207 دستی یکسان سازی</t>
  </si>
  <si>
    <t>کلید شیشه بالابر شاگرد کنترل ماشینی شده PASSENGER SBCM</t>
  </si>
  <si>
    <t>SAMSUNG1(top)</t>
  </si>
  <si>
    <t>جعبه الکترونیکی کنترل ماشینی شده NBCM_DENA_SBR-TOP</t>
  </si>
  <si>
    <t>SAMSUNG1(bot)</t>
  </si>
  <si>
    <t xml:space="preserve">جعبه الکترونیکی مونتاژ ماشینی شده NBCM_DENA_SBR-(BOT)  </t>
  </si>
  <si>
    <t>برد الکترونیکی ایموبلایزر EIM -مونتاژ ماشینی شده</t>
  </si>
  <si>
    <t>ماژول RF Module_T312  کنترل ماشینی شده</t>
  </si>
  <si>
    <t>جعبه الکترونیکی مونتاژ ماشینی شده BCMi/SBMi_P207_SOREN_ARISUN Top</t>
  </si>
  <si>
    <t>SAMSUNG2(bot)</t>
  </si>
  <si>
    <t xml:space="preserve"> BCMi/SBMi_P207_SOREN_ARISUN Bottom جعبه الکترونیکی مونتاژ ماشینی شده</t>
  </si>
  <si>
    <t>کلید شیشه بالابر جلوچپ مونتاژماشینی شده CKD DRIVER DSM</t>
  </si>
  <si>
    <t>تاریخ</t>
  </si>
  <si>
    <t>درایو کولر BLDC کنترل ماشینی شده</t>
  </si>
  <si>
    <t>تعداد برنامه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</si>
</sst>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2">
    <cellStyle name="Normal" xfId="0" builtinId="0"/>
    <cellStyle name="Normal 2" xfId="1" xr:uid="{726366D9-CEAA-4D30-8135-93799428C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5537-8C4A-4C26-AC55-E58394BBA82A}">
  <dimension ref="A1:K31"/>
  <sheetViews>
    <sheetView rightToLeft="1" tabSelected="1" topLeftCell="B4" workbookViewId="0">
      <selection activeCell="I19" sqref="I19"/>
    </sheetView>
  </sheetViews>
  <sheetFormatPr defaultRowHeight="14.4" x14ac:dyDescent="0.3"/>
  <cols>
    <col min="1" max="1" width="9" bestFit="1" customWidth="1"/>
    <col min="2" max="2" width="9.5546875" bestFit="1" customWidth="1"/>
    <col min="3" max="3" width="64.88671875" bestFit="1" customWidth="1"/>
    <col min="4" max="4" width="16.109375" bestFit="1" customWidth="1"/>
    <col min="5" max="5" width="10.109375" bestFit="1" customWidth="1"/>
    <col min="9" max="9" width="9.44140625" bestFit="1" customWidth="1"/>
    <col min="10" max="10" width="64.88671875" bestFit="1" customWidth="1"/>
    <col min="11" max="11" width="9.6640625" bestFit="1" customWidth="1"/>
  </cols>
  <sheetData>
    <row r="1" spans="1:11" x14ac:dyDescent="0.3">
      <c r="A1" s="2" t="s">
        <v>20</v>
      </c>
      <c r="B1" s="2" t="s">
        <v>3</v>
      </c>
      <c r="C1" s="2" t="s">
        <v>2</v>
      </c>
      <c r="D1" s="2" t="s">
        <v>1</v>
      </c>
      <c r="E1" s="2" t="s">
        <v>0</v>
      </c>
      <c r="I1" s="2" t="str" cm="1">
        <f t="array" ref="I1:J15">_xlfn.UNIQUE(B:C)</f>
        <v>کد محصول</v>
      </c>
      <c r="J1" s="2" t="str">
        <v xml:space="preserve"> نام محصول</v>
      </c>
      <c r="K1" s="2" t="s">
        <v>22</v>
      </c>
    </row>
    <row r="2" spans="1:11" x14ac:dyDescent="0.3">
      <c r="A2" s="3">
        <v>14050804</v>
      </c>
      <c r="B2" s="3">
        <v>1201963</v>
      </c>
      <c r="C2" s="3" t="s">
        <v>5</v>
      </c>
      <c r="D2" s="3" t="s">
        <v>4</v>
      </c>
      <c r="E2" s="3">
        <v>250</v>
      </c>
      <c r="I2" s="1">
        <v>1201963</v>
      </c>
      <c r="J2" s="1" t="str">
        <v>جلوآمپر کنترل ماشینی شده ICN1-DENA-HPT-THT</v>
      </c>
      <c r="K2" s="1">
        <f>SUMIFS(E:E,B:B,I2)</f>
        <v>630</v>
      </c>
    </row>
    <row r="3" spans="1:11" x14ac:dyDescent="0.3">
      <c r="A3" s="3">
        <v>14050804</v>
      </c>
      <c r="B3" s="3">
        <v>1200932</v>
      </c>
      <c r="C3" s="3" t="s">
        <v>6</v>
      </c>
      <c r="D3" s="3" t="s">
        <v>4</v>
      </c>
      <c r="E3" s="3">
        <v>200</v>
      </c>
      <c r="I3" s="1">
        <v>1200932</v>
      </c>
      <c r="J3" s="1" t="str">
        <v>جلوآمپر کنترل ماشینی شده ICN SOREN یکسان سازی</v>
      </c>
      <c r="K3" s="1">
        <f t="shared" ref="K3:K15" si="0">SUMIFS(E:E,B:B,I3)</f>
        <v>650</v>
      </c>
    </row>
    <row r="4" spans="1:11" x14ac:dyDescent="0.3">
      <c r="A4" s="3">
        <v>14050804</v>
      </c>
      <c r="B4" s="3">
        <v>1201997</v>
      </c>
      <c r="C4" s="3" t="s">
        <v>8</v>
      </c>
      <c r="D4" s="3" t="s">
        <v>7</v>
      </c>
      <c r="E4" s="3">
        <v>350</v>
      </c>
      <c r="I4" s="1">
        <v>1201997</v>
      </c>
      <c r="J4" s="1" t="str">
        <v>جلوآمپر کنترل ماشینی شده 207 دستی یکسان سازی</v>
      </c>
      <c r="K4" s="1">
        <f t="shared" si="0"/>
        <v>1050</v>
      </c>
    </row>
    <row r="5" spans="1:11" x14ac:dyDescent="0.3">
      <c r="A5" s="3">
        <v>14050804</v>
      </c>
      <c r="B5" s="3">
        <v>1201643</v>
      </c>
      <c r="C5" s="3" t="s">
        <v>11</v>
      </c>
      <c r="D5" s="3" t="s">
        <v>10</v>
      </c>
      <c r="E5" s="3">
        <v>500</v>
      </c>
      <c r="I5" s="1">
        <v>1201643</v>
      </c>
      <c r="J5" s="1" t="str">
        <v>جعبه الکترونیکی کنترل ماشینی شده NBCM_DENA_SBR-TOP</v>
      </c>
      <c r="K5" s="1">
        <f t="shared" si="0"/>
        <v>1460</v>
      </c>
    </row>
    <row r="6" spans="1:11" x14ac:dyDescent="0.3">
      <c r="A6" s="3">
        <v>14050804</v>
      </c>
      <c r="B6" s="3">
        <v>1201605</v>
      </c>
      <c r="C6" s="3" t="s">
        <v>13</v>
      </c>
      <c r="D6" s="3" t="s">
        <v>17</v>
      </c>
      <c r="E6" s="3">
        <v>500</v>
      </c>
      <c r="I6" s="1">
        <v>1201605</v>
      </c>
      <c r="J6" s="1" t="str">
        <v xml:space="preserve">جعبه الکترونیکی مونتاژ ماشینی شده NBCM_DENA_SBR-(BOT)  </v>
      </c>
      <c r="K6" s="1">
        <f t="shared" si="0"/>
        <v>1460</v>
      </c>
    </row>
    <row r="7" spans="1:11" x14ac:dyDescent="0.3">
      <c r="A7" s="3">
        <v>14050804</v>
      </c>
      <c r="B7" s="3">
        <v>1201060</v>
      </c>
      <c r="C7" s="3" t="s">
        <v>14</v>
      </c>
      <c r="D7" s="3" t="s">
        <v>7</v>
      </c>
      <c r="E7" s="3">
        <v>600</v>
      </c>
      <c r="I7" s="1">
        <v>1201060</v>
      </c>
      <c r="J7" s="1" t="str">
        <v>برد الکترونیکی ایموبلایزر EIM -مونتاژ ماشینی شده</v>
      </c>
      <c r="K7" s="1">
        <f t="shared" si="0"/>
        <v>2450</v>
      </c>
    </row>
    <row r="8" spans="1:11" x14ac:dyDescent="0.3">
      <c r="A8" s="3">
        <v>14050804</v>
      </c>
      <c r="B8" s="3">
        <v>1200011</v>
      </c>
      <c r="C8" s="3" t="s">
        <v>15</v>
      </c>
      <c r="D8" s="3" t="s">
        <v>10</v>
      </c>
      <c r="E8" s="3">
        <v>1500</v>
      </c>
      <c r="I8" s="1">
        <v>1200011</v>
      </c>
      <c r="J8" s="1" t="str">
        <v>ماژول RF Module_T312  کنترل ماشینی شده</v>
      </c>
      <c r="K8" s="1">
        <f t="shared" si="0"/>
        <v>2300</v>
      </c>
    </row>
    <row r="9" spans="1:11" x14ac:dyDescent="0.3">
      <c r="A9" s="3">
        <v>14050804</v>
      </c>
      <c r="B9" s="3">
        <v>1201653</v>
      </c>
      <c r="C9" s="3" t="s">
        <v>16</v>
      </c>
      <c r="D9" s="3" t="s">
        <v>10</v>
      </c>
      <c r="E9" s="3">
        <v>600</v>
      </c>
      <c r="I9" s="1">
        <v>1201653</v>
      </c>
      <c r="J9" s="1" t="str">
        <v>جعبه الکترونیکی مونتاژ ماشینی شده BCMi/SBMi_P207_SOREN_ARISUN Top</v>
      </c>
      <c r="K9" s="1">
        <f t="shared" si="0"/>
        <v>1400</v>
      </c>
    </row>
    <row r="10" spans="1:11" x14ac:dyDescent="0.3">
      <c r="A10" s="3">
        <v>14050804</v>
      </c>
      <c r="B10" s="3">
        <v>1201654</v>
      </c>
      <c r="C10" s="3" t="s">
        <v>18</v>
      </c>
      <c r="D10" s="3" t="s">
        <v>17</v>
      </c>
      <c r="E10" s="3">
        <v>600</v>
      </c>
      <c r="I10" s="1">
        <v>1201654</v>
      </c>
      <c r="J10" s="1" t="str">
        <v xml:space="preserve"> BCMi/SBMi_P207_SOREN_ARISUN Bottom جعبه الکترونیکی مونتاژ ماشینی شده</v>
      </c>
      <c r="K10" s="1">
        <f t="shared" si="0"/>
        <v>1750</v>
      </c>
    </row>
    <row r="11" spans="1:11" x14ac:dyDescent="0.3">
      <c r="A11" s="3">
        <v>14050804</v>
      </c>
      <c r="B11" s="3">
        <v>1200151</v>
      </c>
      <c r="C11" s="3" t="s">
        <v>21</v>
      </c>
      <c r="D11" s="3" t="s">
        <v>7</v>
      </c>
      <c r="E11" s="3">
        <v>1500</v>
      </c>
      <c r="I11" s="1">
        <v>1200151</v>
      </c>
      <c r="J11" s="1" t="str">
        <v>درایو کولر BLDC کنترل ماشینی شده</v>
      </c>
      <c r="K11" s="1">
        <f t="shared" si="0"/>
        <v>1500</v>
      </c>
    </row>
    <row r="12" spans="1:11" x14ac:dyDescent="0.3">
      <c r="A12" s="4">
        <v>14050805</v>
      </c>
      <c r="B12" s="4">
        <v>1201963</v>
      </c>
      <c r="C12" s="4" t="s">
        <v>5</v>
      </c>
      <c r="D12" s="4" t="s">
        <v>4</v>
      </c>
      <c r="E12" s="4">
        <v>200</v>
      </c>
      <c r="I12" s="1">
        <v>1202151</v>
      </c>
      <c r="J12" s="1" t="str">
        <v>کلید شیشه بالابر جلوچپ مونتاژماشینی شده CKD DRIVER DSM</v>
      </c>
      <c r="K12" s="1">
        <f t="shared" si="0"/>
        <v>1200</v>
      </c>
    </row>
    <row r="13" spans="1:11" x14ac:dyDescent="0.3">
      <c r="A13" s="4">
        <v>14050805</v>
      </c>
      <c r="B13" s="4">
        <v>1200932</v>
      </c>
      <c r="C13" s="4" t="s">
        <v>6</v>
      </c>
      <c r="D13" s="4" t="s">
        <v>4</v>
      </c>
      <c r="E13" s="4">
        <v>250</v>
      </c>
      <c r="I13" s="1">
        <v>1202122</v>
      </c>
      <c r="J13" s="1" t="str">
        <v>کلید شیشه بالابر شاگرد کنترل ماشینی شده PASSENGER SBCM</v>
      </c>
      <c r="K13" s="1">
        <f t="shared" si="0"/>
        <v>3000</v>
      </c>
    </row>
    <row r="14" spans="1:11" x14ac:dyDescent="0.3">
      <c r="A14" s="4">
        <v>14050805</v>
      </c>
      <c r="B14" s="4">
        <v>1201997</v>
      </c>
      <c r="C14" s="4" t="s">
        <v>8</v>
      </c>
      <c r="D14" s="4" t="s">
        <v>7</v>
      </c>
      <c r="E14" s="4">
        <v>400</v>
      </c>
      <c r="I14" s="1">
        <v>1202150</v>
      </c>
      <c r="J14" s="1" t="str">
        <v>کلید شیشه بالابر جلوچپ مونتاژماشینی شده CKD DRIVER DSM</v>
      </c>
      <c r="K14" s="1">
        <f t="shared" si="0"/>
        <v>1000</v>
      </c>
    </row>
    <row r="15" spans="1:11" x14ac:dyDescent="0.3">
      <c r="A15" s="4">
        <v>14050805</v>
      </c>
      <c r="B15" s="4">
        <v>1202151</v>
      </c>
      <c r="C15" s="4" t="s">
        <v>19</v>
      </c>
      <c r="D15" s="4" t="s">
        <v>7</v>
      </c>
      <c r="E15" s="4">
        <v>1200</v>
      </c>
      <c r="I15" s="1">
        <v>0</v>
      </c>
      <c r="J15" s="1">
        <v>0</v>
      </c>
      <c r="K15" s="1">
        <f t="shared" si="0"/>
        <v>0</v>
      </c>
    </row>
    <row r="16" spans="1:11" x14ac:dyDescent="0.3">
      <c r="A16" s="4">
        <v>14050805</v>
      </c>
      <c r="B16" s="4">
        <v>1201643</v>
      </c>
      <c r="C16" s="4" t="s">
        <v>11</v>
      </c>
      <c r="D16" s="4" t="s">
        <v>10</v>
      </c>
      <c r="E16" s="4">
        <v>480</v>
      </c>
    </row>
    <row r="17" spans="1:5" x14ac:dyDescent="0.3">
      <c r="A17" s="4">
        <v>14050805</v>
      </c>
      <c r="B17" s="4">
        <v>1201605</v>
      </c>
      <c r="C17" s="4" t="s">
        <v>13</v>
      </c>
      <c r="D17" s="4" t="s">
        <v>12</v>
      </c>
      <c r="E17" s="4">
        <v>480</v>
      </c>
    </row>
    <row r="18" spans="1:5" x14ac:dyDescent="0.3">
      <c r="A18" s="4">
        <v>14050805</v>
      </c>
      <c r="B18" s="4">
        <v>1201060</v>
      </c>
      <c r="C18" s="4" t="s">
        <v>14</v>
      </c>
      <c r="D18" s="4" t="s">
        <v>7</v>
      </c>
      <c r="E18" s="4">
        <v>1200</v>
      </c>
    </row>
    <row r="19" spans="1:5" x14ac:dyDescent="0.3">
      <c r="A19" s="4">
        <v>14050805</v>
      </c>
      <c r="B19" s="4">
        <v>1201653</v>
      </c>
      <c r="C19" s="4" t="s">
        <v>16</v>
      </c>
      <c r="D19" s="4" t="s">
        <v>10</v>
      </c>
      <c r="E19" s="4">
        <v>400</v>
      </c>
    </row>
    <row r="20" spans="1:5" x14ac:dyDescent="0.3">
      <c r="A20" s="4">
        <v>14050805</v>
      </c>
      <c r="B20" s="4">
        <v>1201654</v>
      </c>
      <c r="C20" s="4" t="s">
        <v>18</v>
      </c>
      <c r="D20" s="4" t="s">
        <v>17</v>
      </c>
      <c r="E20" s="4">
        <v>400</v>
      </c>
    </row>
    <row r="21" spans="1:5" x14ac:dyDescent="0.3">
      <c r="A21" s="5">
        <v>14050806</v>
      </c>
      <c r="B21" s="5">
        <v>1201963</v>
      </c>
      <c r="C21" s="5" t="s">
        <v>5</v>
      </c>
      <c r="D21" s="5" t="s">
        <v>4</v>
      </c>
      <c r="E21" s="5">
        <v>180</v>
      </c>
    </row>
    <row r="22" spans="1:5" x14ac:dyDescent="0.3">
      <c r="A22" s="5">
        <v>14050806</v>
      </c>
      <c r="B22" s="5">
        <v>1200932</v>
      </c>
      <c r="C22" s="5" t="s">
        <v>6</v>
      </c>
      <c r="D22" s="5" t="s">
        <v>4</v>
      </c>
      <c r="E22" s="5">
        <v>200</v>
      </c>
    </row>
    <row r="23" spans="1:5" x14ac:dyDescent="0.3">
      <c r="A23" s="5">
        <v>14050806</v>
      </c>
      <c r="B23" s="5">
        <v>1201997</v>
      </c>
      <c r="C23" s="5" t="s">
        <v>8</v>
      </c>
      <c r="D23" s="5" t="s">
        <v>7</v>
      </c>
      <c r="E23" s="5">
        <v>300</v>
      </c>
    </row>
    <row r="24" spans="1:5" x14ac:dyDescent="0.3">
      <c r="A24" s="5">
        <v>14050806</v>
      </c>
      <c r="B24" s="5">
        <v>1202122</v>
      </c>
      <c r="C24" s="5" t="s">
        <v>9</v>
      </c>
      <c r="D24" s="5" t="s">
        <v>4</v>
      </c>
      <c r="E24" s="5">
        <v>3000</v>
      </c>
    </row>
    <row r="25" spans="1:5" x14ac:dyDescent="0.3">
      <c r="A25" s="5">
        <v>14050806</v>
      </c>
      <c r="B25" s="5">
        <v>1201643</v>
      </c>
      <c r="C25" s="5" t="s">
        <v>11</v>
      </c>
      <c r="D25" s="5" t="s">
        <v>10</v>
      </c>
      <c r="E25" s="5">
        <v>480</v>
      </c>
    </row>
    <row r="26" spans="1:5" x14ac:dyDescent="0.3">
      <c r="A26" s="5">
        <v>14050806</v>
      </c>
      <c r="B26" s="5">
        <v>1201605</v>
      </c>
      <c r="C26" s="5" t="s">
        <v>13</v>
      </c>
      <c r="D26" s="5" t="s">
        <v>12</v>
      </c>
      <c r="E26" s="5">
        <v>480</v>
      </c>
    </row>
    <row r="27" spans="1:5" x14ac:dyDescent="0.3">
      <c r="A27" s="5">
        <v>14050806</v>
      </c>
      <c r="B27" s="5">
        <v>1201060</v>
      </c>
      <c r="C27" s="5" t="s">
        <v>14</v>
      </c>
      <c r="D27" s="5" t="s">
        <v>7</v>
      </c>
      <c r="E27" s="5">
        <v>650</v>
      </c>
    </row>
    <row r="28" spans="1:5" x14ac:dyDescent="0.3">
      <c r="A28" s="5">
        <v>14050806</v>
      </c>
      <c r="B28" s="5">
        <v>1200011</v>
      </c>
      <c r="C28" s="5" t="s">
        <v>15</v>
      </c>
      <c r="D28" s="5" t="s">
        <v>10</v>
      </c>
      <c r="E28" s="5">
        <v>800</v>
      </c>
    </row>
    <row r="29" spans="1:5" x14ac:dyDescent="0.3">
      <c r="A29" s="5">
        <v>14050806</v>
      </c>
      <c r="B29" s="5">
        <v>1201653</v>
      </c>
      <c r="C29" s="5" t="s">
        <v>16</v>
      </c>
      <c r="D29" s="5" t="s">
        <v>10</v>
      </c>
      <c r="E29" s="5">
        <v>400</v>
      </c>
    </row>
    <row r="30" spans="1:5" x14ac:dyDescent="0.3">
      <c r="A30" s="5">
        <v>14050806</v>
      </c>
      <c r="B30" s="5">
        <v>1201654</v>
      </c>
      <c r="C30" s="5" t="s">
        <v>18</v>
      </c>
      <c r="D30" s="5" t="s">
        <v>17</v>
      </c>
      <c r="E30" s="5">
        <v>750</v>
      </c>
    </row>
    <row r="31" spans="1:5" x14ac:dyDescent="0.3">
      <c r="A31" s="5">
        <v>14050806</v>
      </c>
      <c r="B31" s="5">
        <v>1202150</v>
      </c>
      <c r="C31" s="5" t="s">
        <v>19</v>
      </c>
      <c r="D31" s="5" t="s">
        <v>17</v>
      </c>
      <c r="E31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Kiani</dc:creator>
  <cp:lastModifiedBy>Saeed Kazemipour</cp:lastModifiedBy>
  <dcterms:created xsi:type="dcterms:W3CDTF">2026-10-24T12:46:53Z</dcterms:created>
  <dcterms:modified xsi:type="dcterms:W3CDTF">2026-10-27T11:47:13Z</dcterms:modified>
</cp:coreProperties>
</file>