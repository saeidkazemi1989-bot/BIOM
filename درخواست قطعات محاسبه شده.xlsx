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درخواست قطعات" sheetId="1" state="visible" r:id="rId1"/>
    <sheet name="ورودی برنامه" sheetId="2" state="visible" r:id="rId2"/>
    <sheet name="برنامه محصولات ۱۲" sheetId="3" state="visible" r:id="rId3"/>
    <sheet name="جزئیات BOM" sheetId="4" state="visible" r:id="rId4"/>
    <sheet name="راهنما و فرض‌ها" sheetId="5" state="visible" r:id="rId5"/>
  </sheets>
  <definedNames>
    <definedName name="_xlnm._FilterDatabase" localSheetId="0" hidden="1">'درخواست قطعات'!$A$3:$R$316</definedName>
    <definedName name="_xlnm.Print_Titles" localSheetId="0">'درخواست قطعات'!$1:$3</definedName>
    <definedName name="_xlnm._FilterDatabase" localSheetId="1" hidden="1">'ورودی برنامه'!$A$3:$G$16</definedName>
    <definedName name="_xlnm.Print_Titles" localSheetId="1">'ورودی برنامه'!$1:$3</definedName>
    <definedName name="_xlnm._FilterDatabase" localSheetId="2" hidden="1">'برنامه محصولات ۱۲'!$A$3:$K$16</definedName>
    <definedName name="_xlnm.Print_Titles" localSheetId="2">'برنامه محصولات ۱۲'!$1:$3</definedName>
    <definedName name="_xlnm._FilterDatabase" localSheetId="3" hidden="1">'جزئیات BOM'!$A$3:$V$607</definedName>
    <definedName name="_xlnm.Print_Titles" localSheetId="3">'جزئیات BOM'!$1:$3</definedName>
  </definedNames>
  <calcPr calcId="124519" calcMode="auto" fullCalcOnLoad="1" forceFullCalc="1"/>
</workbook>
</file>

<file path=xl/styles.xml><?xml version="1.0" encoding="utf-8"?>
<styleSheet xmlns="http://schemas.openxmlformats.org/spreadsheetml/2006/main">
  <numFmts count="1">
    <numFmt numFmtId="164" formatCode="#,##0.##;[Red]-#,##0.##;0"/>
  </numFmts>
  <fonts count="8">
    <font>
      <name val="Calibri"/>
      <family val="2"/>
      <color theme="1"/>
      <sz val="11"/>
      <scheme val="minor"/>
    </font>
    <font>
      <name val="Tahoma"/>
      <b val="1"/>
      <color rgb="00FFFFFF"/>
      <sz val="13"/>
    </font>
    <font>
      <name val="Tahoma"/>
      <b val="1"/>
      <color rgb="007A5100"/>
      <sz val="10"/>
    </font>
    <font>
      <name val="Tahoma"/>
      <b val="1"/>
      <color rgb="00FFFFFF"/>
      <sz val="10"/>
    </font>
    <font>
      <name val="Tahoma"/>
      <color rgb="00263445"/>
      <sz val="9"/>
    </font>
    <font>
      <name val="Tahoma"/>
      <b val="1"/>
      <color rgb="0024527A"/>
      <sz val="10"/>
    </font>
    <font>
      <name val="Tahoma"/>
      <b val="1"/>
      <color rgb="00263445"/>
      <sz val="10"/>
    </font>
    <font>
      <name val="Tahoma"/>
      <color rgb="00263445"/>
      <sz val="10"/>
    </font>
  </fonts>
  <fills count="10">
    <fill>
      <patternFill/>
    </fill>
    <fill>
      <patternFill patternType="gray125"/>
    </fill>
    <fill>
      <patternFill patternType="solid">
        <fgColor rgb="00183153"/>
      </patternFill>
    </fill>
    <fill>
      <patternFill patternType="solid">
        <fgColor rgb="00FFF2CC"/>
      </patternFill>
    </fill>
    <fill>
      <patternFill patternType="solid">
        <fgColor rgb="0024527A"/>
      </patternFill>
    </fill>
    <fill>
      <patternFill patternType="solid">
        <fgColor rgb="00F7FAFC"/>
      </patternFill>
    </fill>
    <fill>
      <patternFill patternType="solid">
        <fgColor rgb="00F3F5F7"/>
      </patternFill>
    </fill>
    <fill>
      <patternFill patternType="solid">
        <fgColor rgb="00EAF2FA"/>
      </patternFill>
    </fill>
    <fill>
      <patternFill patternType="solid">
        <fgColor rgb="00F5F8FB"/>
      </patternFill>
    </fill>
    <fill>
      <patternFill patternType="solid">
        <fgColor rgb="00FFFFFF"/>
      </patternFill>
    </fill>
  </fills>
  <borders count="2">
    <border>
      <left/>
      <right/>
      <top/>
      <bottom/>
      <diagonal/>
    </border>
    <border>
      <bottom style="hair">
        <color rgb="00D7DEE6"/>
      </bottom>
    </border>
  </borders>
  <cellStyleXfs count="1">
    <xf numFmtId="0" fontId="0" fillId="0" borderId="0"/>
  </cellStyleXfs>
  <cellXfs count="22">
    <xf numFmtId="0" fontId="0" fillId="0" borderId="0" pivotButton="0" quotePrefix="0" xfId="0"/>
    <xf numFmtId="0" fontId="1" fillId="2" borderId="0" applyAlignment="1" pivotButton="0" quotePrefix="0" xfId="0">
      <alignment horizontal="right" vertical="center"/>
    </xf>
    <xf numFmtId="0" fontId="2" fillId="3" borderId="0" applyAlignment="1" pivotButton="0" quotePrefix="0" xfId="0">
      <alignment horizontal="right" vertical="center" wrapText="1"/>
    </xf>
    <xf numFmtId="0" fontId="3" fillId="4"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5" borderId="1" applyAlignment="1" pivotButton="0" quotePrefix="0" xfId="0">
      <alignment horizontal="center" vertical="center"/>
    </xf>
    <xf numFmtId="0" fontId="4" fillId="5" borderId="1" applyAlignment="1" pivotButton="0" quotePrefix="0" xfId="0">
      <alignment horizontal="right" vertical="center"/>
    </xf>
    <xf numFmtId="164" fontId="5" fillId="5" borderId="1" applyAlignment="1" pivotButton="0" quotePrefix="0" xfId="0">
      <alignment horizontal="center" vertical="center"/>
    </xf>
    <xf numFmtId="0" fontId="4" fillId="6" borderId="1" applyAlignment="1" pivotButton="0" quotePrefix="0" xfId="0">
      <alignment horizontal="center" vertical="center"/>
    </xf>
    <xf numFmtId="0" fontId="4" fillId="5" borderId="1" applyAlignment="1" pivotButton="0" quotePrefix="0" xfId="0">
      <alignment horizontal="center" vertical="center"/>
    </xf>
    <xf numFmtId="164" fontId="4" fillId="0" borderId="1" applyAlignment="1" pivotButton="0" quotePrefix="0" xfId="0">
      <alignment horizontal="center" vertical="center"/>
    </xf>
    <xf numFmtId="0" fontId="4" fillId="0" borderId="1" applyAlignment="1" pivotButton="0" quotePrefix="0" xfId="0">
      <alignment horizontal="right" vertical="center"/>
    </xf>
    <xf numFmtId="164" fontId="5" fillId="0" borderId="1" applyAlignment="1" pivotButton="0" quotePrefix="0" xfId="0">
      <alignment horizontal="center" vertical="center"/>
    </xf>
    <xf numFmtId="0" fontId="4" fillId="0" borderId="1" applyAlignment="1" pivotButton="0" quotePrefix="0" xfId="0">
      <alignment horizontal="center" vertical="center"/>
    </xf>
    <xf numFmtId="0" fontId="4" fillId="3" borderId="1" applyAlignment="1" pivotButton="0" quotePrefix="0" xfId="0">
      <alignment horizontal="right" vertical="center"/>
    </xf>
    <xf numFmtId="164" fontId="4" fillId="7" borderId="1" applyAlignment="1" pivotButton="0" quotePrefix="0" xfId="0">
      <alignment horizontal="center" vertical="center"/>
    </xf>
    <xf numFmtId="0" fontId="6" fillId="8" borderId="1" applyAlignment="1" pivotButton="0" quotePrefix="0" xfId="0">
      <alignment horizontal="right" vertical="center" wrapText="1"/>
    </xf>
    <xf numFmtId="0" fontId="7" fillId="8" borderId="1" applyAlignment="1" pivotButton="0" quotePrefix="0" xfId="0">
      <alignment horizontal="right" vertical="center" wrapText="1"/>
    </xf>
    <xf numFmtId="0" fontId="6" fillId="9" borderId="1" applyAlignment="1" pivotButton="0" quotePrefix="0" xfId="0">
      <alignment horizontal="right" vertical="center" wrapText="1"/>
    </xf>
    <xf numFmtId="0" fontId="7" fillId="9" borderId="1" applyAlignment="1" pivotButton="0" quotePrefix="0" xfId="0">
      <alignment horizontal="right" vertical="center" wrapText="1"/>
    </xf>
    <xf numFmtId="0" fontId="6" fillId="3" borderId="1" applyAlignment="1" pivotButton="0" quotePrefix="0" xfId="0">
      <alignment horizontal="right" vertical="center" wrapText="1"/>
    </xf>
    <xf numFmtId="0" fontId="7" fillId="3" borderId="1" applyAlignment="1" pivotButton="0" quotePrefix="0" xfId="0">
      <alignment horizontal="right" vertical="center" wrapText="1"/>
    </xf>
  </cellXfs>
  <cellStyles count="1">
    <cellStyle name="Normal" xfId="0" builtinId="0" hidden="0"/>
  </cellStyles>
  <dxfs count="1">
    <dxf>
      <font>
        <name val="Tahoma"/>
        <b val="1"/>
        <color rgb="009C1C1C"/>
      </font>
      <fill>
        <patternFill patternType="solid">
          <fgColor rgb="00FCE8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راهنما</author>
  </authors>
  <commentList>
    <comment ref="C3" authorId="0" shapeId="0">
      <text>
        <t>فرمول: درخواست = ROUNDUP(MAX(0, نیاز سه‌روز + نیاز بعدی − موجودی پای کار), 0). گردکردن خطای شناوری قبل از ROUNDUP انجام می‌شود.</t>
      </text>
    </comment>
    <comment ref="I3" authorId="0" shapeId="0">
      <text>
        <t>جمع نیاز این قطعه در همه محصولات از ستون S در صفحه جزئیات BOM با SUMIF.</t>
      </text>
    </comment>
    <comment ref="J3" authorId="0" shapeId="0">
      <text>
        <t>جمع نیاز این قطعه در همه محصولات از ستون T در صفحه جزئیات BOM با SUMIF.</t>
      </text>
    </comment>
    <comment ref="M3" authorId="0" shapeId="0">
      <text>
        <t>این سناریوی کمکی فقط مقدار اولیه ثابت است؛ با تغییر برنامه، ضریب یا موجودی به‌روز نمی‌شود. برای محاسبه مجدد باید فایل را دوباره تولید کرد.</t>
      </text>
    </comment>
  </commentList>
</comments>
</file>

<file path=xl/comments/comment2.xml><?xml version="1.0" encoding="utf-8"?>
<comments xmlns="http://schemas.openxmlformats.org/spreadsheetml/2006/main">
  <authors>
    <author>راهنما</author>
  </authors>
  <commentList>
    <comment ref="D3" authorId="0" shapeId="0">
      <text>
        <t>تعداد باقیمانده از برنامه سه‌روز؛ با تغییر آن سناریوی اصلی با همان BOM باز حساب می‌شود.</t>
      </text>
    </comment>
    <comment ref="E3" authorId="0" shapeId="0">
      <text>
        <t>تعداد برنامه بعدی؛ برای محاسبه جدید آن را در این صفحه ویرایش کنید.</t>
      </text>
    </comment>
  </commentList>
</comments>
</file>

<file path=xl/comments/comment3.xml><?xml version="1.0" encoding="utf-8"?>
<comments xmlns="http://schemas.openxmlformats.org/spreadsheetml/2006/main">
  <authors>
    <author>راهنما</author>
  </authors>
  <commentList>
    <comment ref="O3" authorId="0" shapeId="0">
      <text>
        <t>برای قطعات عادی ۱۰۰٪ است. در گروه‌های درصدی از ستون N می‌آید؛ در گروه ۱۰۰٪/۱۰۰٪ سهم انتخاب‌شده ۱۰۰ یا صفر و ثابت است.</t>
      </text>
    </comment>
    <comment ref="S3" authorId="0" shapeId="0">
      <text>
        <t>نیاز سه‌روز = برنامه سه‌روز محصول × ضریب ÷ مبنای BOM × سهم اعمال‌شده ÷ ۱۰۰.</t>
      </text>
    </comment>
    <comment ref="T3" authorId="0" shapeId="0">
      <text>
        <t>نیاز برنامه بعدی = برنامه بعدی محصول × ضریب ÷ مبنای BOM × سهم اعمال‌شده ÷ ۱۰۰.</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fitToPage="1"/>
  </sheetPr>
  <dimension ref="A1:R316"/>
  <sheetViews>
    <sheetView rightToLeft="1" workbookViewId="0">
      <pane xSplit="2" ySplit="3" topLeftCell="C4" activePane="bottomRight" state="frozen"/>
      <selection pane="topRight"/>
      <selection pane="bottomLeft"/>
      <selection pane="bottomRight" activeCell="A1" sqref="A1"/>
    </sheetView>
  </sheetViews>
  <sheetFormatPr baseColWidth="8" defaultRowHeight="15"/>
  <cols>
    <col width="17" customWidth="1" min="1" max="1"/>
    <col width="46" customWidth="1" min="2" max="2"/>
    <col width="18" customWidth="1" min="3" max="3"/>
    <col width="15" customWidth="1" min="4" max="4"/>
    <col width="13" customWidth="1" min="5" max="5"/>
    <col width="14" customWidth="1" min="6" max="6"/>
    <col width="19" customWidth="1" min="7" max="7"/>
    <col width="20" customWidth="1" min="8" max="8"/>
    <col width="19" customWidth="1" min="9" max="9"/>
    <col width="19" customWidth="1" min="10" max="10"/>
    <col width="19" customWidth="1" min="11" max="11"/>
    <col width="21" customWidth="1" min="12" max="12"/>
    <col width="26" customWidth="1" min="13" max="13"/>
    <col width="25" customWidth="1" min="14" max="14"/>
    <col width="15" customWidth="1" min="15" max="15"/>
    <col width="43" customWidth="1" min="16" max="16"/>
    <col width="21" customWidth="1" min="17" max="17"/>
    <col width="21" customWidth="1" min="18" max="18"/>
  </cols>
  <sheetData>
    <row r="1" ht="30" customHeight="1">
      <c r="A1" s="1" t="inlineStr">
        <is>
          <t>برآورد درخواست قطعات | برنامه قبلی و برنامه بعدی</t>
        </is>
      </c>
    </row>
    <row r="2" ht="30" customHeight="1">
      <c r="A2" s="2" t="inlineStr">
        <is>
          <t>فقط BOM با پایان اعتبار خالی؛ برنامه قبلی مصرف‌نشده فرض شده است. ستون C فرمول دارد و سناریوی M ثابت است.</t>
        </is>
      </c>
    </row>
    <row r="3" ht="40" customHeight="1">
      <c r="A3" s="3" t="inlineStr">
        <is>
          <t>کد کالای مصرفی</t>
        </is>
      </c>
      <c r="B3" s="3" t="inlineStr">
        <is>
          <t>عنوان کالای مصرفی</t>
        </is>
      </c>
      <c r="C3" s="3" t="inlineStr">
        <is>
          <t>مقدار درخواست</t>
        </is>
      </c>
      <c r="D3" s="3" t="inlineStr">
        <is>
          <t>درخواست باز</t>
        </is>
      </c>
      <c r="E3" s="3" t="inlineStr">
        <is>
          <t>جایگزینی</t>
        </is>
      </c>
      <c r="F3" s="3" t="inlineStr">
        <is>
          <t>اولویت</t>
        </is>
      </c>
      <c r="G3" s="3" t="inlineStr">
        <is>
          <t>موجودی انبار پای کار</t>
        </is>
      </c>
      <c r="H3" s="3" t="inlineStr">
        <is>
          <t>موجودی انبار مواد اولیه</t>
        </is>
      </c>
      <c r="I3" s="3" t="inlineStr">
        <is>
          <t>نیاز برنامه سه‌روز</t>
        </is>
      </c>
      <c r="J3" s="3" t="inlineStr">
        <is>
          <t>نیاز برنامه بعدی</t>
        </is>
      </c>
      <c r="K3" s="3" t="inlineStr">
        <is>
          <t>مانده پس از سه‌روز</t>
        </is>
      </c>
      <c r="L3" s="3" t="inlineStr">
        <is>
          <t>درخواست فقط برنامه بعدی</t>
        </is>
      </c>
      <c r="M3" s="4" t="inlineStr">
        <is>
          <t>درخواست اولویت و جایگزین (ثابت)</t>
        </is>
      </c>
      <c r="N3" s="3" t="inlineStr">
        <is>
          <t>وضعیت موجودی پای کار</t>
        </is>
      </c>
      <c r="O3" s="3" t="inlineStr">
        <is>
          <t>واحد</t>
        </is>
      </c>
      <c r="P3" s="3" t="inlineStr">
        <is>
          <t>توضیحات</t>
        </is>
      </c>
      <c r="Q3" s="3" t="inlineStr">
        <is>
          <t>برنامه تولید خود قطعه ۱۲ - قبل</t>
        </is>
      </c>
      <c r="R3" s="3" t="inlineStr">
        <is>
          <t>برنامه تولید خود قطعه ۱۲ - بعد</t>
        </is>
      </c>
    </row>
    <row r="4" ht="20" customHeight="1">
      <c r="A4" s="5" t="n">
        <v>1110101</v>
      </c>
      <c r="B4" s="6" t="inlineStr">
        <is>
          <t>Capacitor 47nF, X7R, 50V, 10%</t>
        </is>
      </c>
      <c r="C4" s="7">
        <f>ROUNDUP(MAX(0,ROUND(I4+J4-G4,10)),0)</f>
        <v>195843</v>
      </c>
      <c r="D4" s="8" t="n"/>
      <c r="E4" s="6" t="inlineStr">
        <is>
          <t>ندارد</t>
        </is>
      </c>
      <c r="F4" s="6" t="inlineStr">
        <is>
          <t>-</t>
        </is>
      </c>
      <c r="G4" s="5" t="n">
        <v>320247</v>
      </c>
      <c r="H4" s="8" t="n"/>
      <c r="I4" s="5">
        <f>SUMIF('جزئیات BOM'!$G$4:$G$607,A4,'جزئیات BOM'!$S$4:$S$607)</f>
        <v>290050</v>
      </c>
      <c r="J4" s="5">
        <f>SUMIF('جزئیات BOM'!$G$4:$G$607,A4,'جزئیات BOM'!$T$4:$T$607)</f>
        <v>226040</v>
      </c>
      <c r="K4" s="5">
        <f>ROUND(G4-I4,10)</f>
        <v>30197</v>
      </c>
      <c r="L4" s="5">
        <f>ROUNDUP(MAX(0,ROUND(J4-G4,10)),0)</f>
        <v>0</v>
      </c>
      <c r="M4" s="5" t="n">
        <v>195843</v>
      </c>
      <c r="N4" s="6" t="inlineStr">
        <is>
          <t>ثبت عددی</t>
        </is>
      </c>
      <c r="O4" s="6" t="inlineStr">
        <is>
          <t>عدد</t>
        </is>
      </c>
      <c r="P4" s="6" t="inlineStr"/>
      <c r="Q4" s="9" t="n"/>
      <c r="R4" s="9" t="n"/>
    </row>
    <row r="5" ht="20" customHeight="1">
      <c r="A5" s="10" t="n">
        <v>1110714</v>
      </c>
      <c r="B5" s="11" t="inlineStr">
        <is>
          <t>Resistor 22K,1%,1/10W</t>
        </is>
      </c>
      <c r="C5" s="12">
        <f>ROUNDUP(MAX(0,ROUND(I5+J5-G5,10)),0)</f>
        <v>134370</v>
      </c>
      <c r="D5" s="8" t="n"/>
      <c r="E5" s="11" t="inlineStr">
        <is>
          <t>دارد</t>
        </is>
      </c>
      <c r="F5" s="11" t="inlineStr">
        <is>
          <t>2</t>
        </is>
      </c>
      <c r="G5" s="10" t="n">
        <v>26680</v>
      </c>
      <c r="H5" s="8" t="n"/>
      <c r="I5" s="10">
        <f>SUMIF('جزئیات BOM'!$G$4:$G$607,A5,'جزئیات BOM'!$S$4:$S$607)</f>
        <v>90870</v>
      </c>
      <c r="J5" s="10">
        <f>SUMIF('جزئیات BOM'!$G$4:$G$607,A5,'جزئیات BOM'!$T$4:$T$607)</f>
        <v>70180</v>
      </c>
      <c r="K5" s="10">
        <f>ROUND(G5-I5,10)</f>
        <v>-64190</v>
      </c>
      <c r="L5" s="10">
        <f>ROUNDUP(MAX(0,ROUND(J5-G5,10)),0)</f>
        <v>43500</v>
      </c>
      <c r="M5" s="10" t="n">
        <v>0</v>
      </c>
      <c r="N5" s="11" t="inlineStr">
        <is>
          <t>ثبت عددی</t>
        </is>
      </c>
      <c r="O5" s="11" t="inlineStr">
        <is>
          <t>عدد</t>
        </is>
      </c>
      <c r="P5" s="11" t="inlineStr">
        <is>
          <t>سهم جایگزین طبق BOM؛ نیازمند تأیید | ۱۰۰٪ تکراری: اولویت اول</t>
        </is>
      </c>
      <c r="Q5" s="13" t="n"/>
      <c r="R5" s="13" t="n"/>
    </row>
    <row r="6" ht="20" customHeight="1">
      <c r="A6" s="5" t="n">
        <v>1110075</v>
      </c>
      <c r="B6" s="6" t="inlineStr">
        <is>
          <t>Capacitor 10N,50V,X7R,10%</t>
        </is>
      </c>
      <c r="C6" s="7">
        <f>ROUNDUP(MAX(0,ROUND(I6+J6-G6,10)),0)</f>
        <v>109898</v>
      </c>
      <c r="D6" s="8" t="n"/>
      <c r="E6" s="6" t="inlineStr">
        <is>
          <t>ندارد</t>
        </is>
      </c>
      <c r="F6" s="6" t="inlineStr">
        <is>
          <t>-</t>
        </is>
      </c>
      <c r="G6" s="5" t="n">
        <v>154772</v>
      </c>
      <c r="H6" s="8" t="n"/>
      <c r="I6" s="5">
        <f>SUMIF('جزئیات BOM'!$G$4:$G$607,A6,'جزئیات BOM'!$S$4:$S$607)</f>
        <v>143270</v>
      </c>
      <c r="J6" s="5">
        <f>SUMIF('جزئیات BOM'!$G$4:$G$607,A6,'جزئیات BOM'!$T$4:$T$607)</f>
        <v>121400</v>
      </c>
      <c r="K6" s="5">
        <f>ROUND(G6-I6,10)</f>
        <v>11502</v>
      </c>
      <c r="L6" s="5">
        <f>ROUNDUP(MAX(0,ROUND(J6-G6,10)),0)</f>
        <v>0</v>
      </c>
      <c r="M6" s="5" t="n">
        <v>109898</v>
      </c>
      <c r="N6" s="6" t="inlineStr">
        <is>
          <t>ثبت عددی</t>
        </is>
      </c>
      <c r="O6" s="6" t="inlineStr">
        <is>
          <t>عدد</t>
        </is>
      </c>
      <c r="P6" s="6" t="inlineStr"/>
      <c r="Q6" s="9" t="n"/>
      <c r="R6" s="9" t="n"/>
    </row>
    <row r="7" ht="20" customHeight="1">
      <c r="A7" s="10" t="n">
        <v>1110279</v>
      </c>
      <c r="B7" s="11" t="inlineStr">
        <is>
          <t>Resistor 1.4K,1%,1/4W</t>
        </is>
      </c>
      <c r="C7" s="12">
        <f>ROUNDUP(MAX(0,ROUND(I7+J7-G7,10)),0)</f>
        <v>109558</v>
      </c>
      <c r="D7" s="8" t="n"/>
      <c r="E7" s="11" t="inlineStr">
        <is>
          <t>ندارد</t>
        </is>
      </c>
      <c r="F7" s="11" t="inlineStr">
        <is>
          <t>-</t>
        </is>
      </c>
      <c r="G7" s="10" t="n">
        <v>40402</v>
      </c>
      <c r="H7" s="8" t="n"/>
      <c r="I7" s="10">
        <f>SUMIF('جزئیات BOM'!$G$4:$G$607,A7,'جزئیات BOM'!$S$4:$S$607)</f>
        <v>82760</v>
      </c>
      <c r="J7" s="10">
        <f>SUMIF('جزئیات BOM'!$G$4:$G$607,A7,'جزئیات BOM'!$T$4:$T$607)</f>
        <v>67200</v>
      </c>
      <c r="K7" s="10">
        <f>ROUND(G7-I7,10)</f>
        <v>-42358</v>
      </c>
      <c r="L7" s="10">
        <f>ROUNDUP(MAX(0,ROUND(J7-G7,10)),0)</f>
        <v>26798</v>
      </c>
      <c r="M7" s="10" t="n">
        <v>109558</v>
      </c>
      <c r="N7" s="11" t="inlineStr">
        <is>
          <t>ثبت عددی</t>
        </is>
      </c>
      <c r="O7" s="11" t="inlineStr">
        <is>
          <t>عدد</t>
        </is>
      </c>
      <c r="P7" s="11" t="inlineStr"/>
      <c r="Q7" s="13" t="n"/>
      <c r="R7" s="13" t="n"/>
    </row>
    <row r="8" ht="20" customHeight="1">
      <c r="A8" s="5" t="n">
        <v>1110766</v>
      </c>
      <c r="B8" s="6" t="inlineStr">
        <is>
          <t>Resistor 43K,1%,1/10W</t>
        </is>
      </c>
      <c r="C8" s="7">
        <f>ROUNDUP(MAX(0,ROUND(I8+J8-G8,10)),0)</f>
        <v>104830</v>
      </c>
      <c r="D8" s="8" t="n"/>
      <c r="E8" s="6" t="inlineStr">
        <is>
          <t>ندارد</t>
        </is>
      </c>
      <c r="F8" s="6" t="inlineStr">
        <is>
          <t>-</t>
        </is>
      </c>
      <c r="G8" s="5" t="n">
        <v>33490</v>
      </c>
      <c r="H8" s="8" t="n"/>
      <c r="I8" s="5">
        <f>SUMIF('جزئیات BOM'!$G$4:$G$607,A8,'جزئیات BOM'!$S$4:$S$607)</f>
        <v>75920</v>
      </c>
      <c r="J8" s="5">
        <f>SUMIF('جزئیات BOM'!$G$4:$G$607,A8,'جزئیات BOM'!$T$4:$T$607)</f>
        <v>62400</v>
      </c>
      <c r="K8" s="5">
        <f>ROUND(G8-I8,10)</f>
        <v>-42430</v>
      </c>
      <c r="L8" s="5">
        <f>ROUNDUP(MAX(0,ROUND(J8-G8,10)),0)</f>
        <v>28910</v>
      </c>
      <c r="M8" s="5" t="n">
        <v>104830</v>
      </c>
      <c r="N8" s="6" t="inlineStr">
        <is>
          <t>ثبت عددی</t>
        </is>
      </c>
      <c r="O8" s="6" t="inlineStr">
        <is>
          <t>عدد</t>
        </is>
      </c>
      <c r="P8" s="6" t="inlineStr"/>
      <c r="Q8" s="9" t="n"/>
      <c r="R8" s="9" t="n"/>
    </row>
    <row r="9" ht="20" customHeight="1">
      <c r="A9" s="10" t="n">
        <v>1110761</v>
      </c>
      <c r="B9" s="11" t="inlineStr">
        <is>
          <t>Resistor 4.7k, 1%, 1/16W</t>
        </is>
      </c>
      <c r="C9" s="12">
        <f>ROUNDUP(MAX(0,ROUND(I9+J9-G9,10)),0)</f>
        <v>73530</v>
      </c>
      <c r="D9" s="8" t="n"/>
      <c r="E9" s="11" t="inlineStr">
        <is>
          <t>دارد</t>
        </is>
      </c>
      <c r="F9" s="11" t="inlineStr">
        <is>
          <t>2</t>
        </is>
      </c>
      <c r="G9" s="10" t="n">
        <v>5140</v>
      </c>
      <c r="H9" s="8" t="n"/>
      <c r="I9" s="10">
        <f>SUMIF('جزئیات BOM'!$G$4:$G$607,A9,'جزئیات BOM'!$S$4:$S$607)</f>
        <v>44750</v>
      </c>
      <c r="J9" s="10">
        <f>SUMIF('جزئیات BOM'!$G$4:$G$607,A9,'جزئیات BOM'!$T$4:$T$607)</f>
        <v>33920</v>
      </c>
      <c r="K9" s="10">
        <f>ROUND(G9-I9,10)</f>
        <v>-39610</v>
      </c>
      <c r="L9" s="10">
        <f>ROUNDUP(MAX(0,ROUND(J9-G9,10)),0)</f>
        <v>28780</v>
      </c>
      <c r="M9" s="10" t="n">
        <v>0</v>
      </c>
      <c r="N9" s="11" t="inlineStr">
        <is>
          <t>ثبت عددی</t>
        </is>
      </c>
      <c r="O9" s="11" t="inlineStr">
        <is>
          <t>عدد</t>
        </is>
      </c>
      <c r="P9" s="11" t="inlineStr">
        <is>
          <t>سهم جایگزین طبق BOM؛ نیازمند تأیید</t>
        </is>
      </c>
      <c r="Q9" s="13" t="n"/>
      <c r="R9" s="13" t="n"/>
    </row>
    <row r="10" ht="20" customHeight="1">
      <c r="A10" s="5" t="n">
        <v>1110303</v>
      </c>
      <c r="B10" s="6" t="inlineStr">
        <is>
          <t>Resistor 4.7K,5%,1/12W</t>
        </is>
      </c>
      <c r="C10" s="7">
        <f>ROUNDUP(MAX(0,ROUND(I10+J10-G10,10)),0)</f>
        <v>60149</v>
      </c>
      <c r="D10" s="8" t="n"/>
      <c r="E10" s="6" t="inlineStr">
        <is>
          <t>دارد</t>
        </is>
      </c>
      <c r="F10" s="6" t="inlineStr">
        <is>
          <t>1</t>
        </is>
      </c>
      <c r="G10" s="5" t="n">
        <v>66521</v>
      </c>
      <c r="H10" s="8" t="n"/>
      <c r="I10" s="5">
        <f>SUMIF('جزئیات BOM'!$G$4:$G$607,A10,'جزئیات BOM'!$S$4:$S$607)</f>
        <v>68750</v>
      </c>
      <c r="J10" s="5">
        <f>SUMIF('جزئیات BOM'!$G$4:$G$607,A10,'جزئیات BOM'!$T$4:$T$607)</f>
        <v>57920</v>
      </c>
      <c r="K10" s="5">
        <f>ROUND(G10-I10,10)</f>
        <v>-2229</v>
      </c>
      <c r="L10" s="5">
        <f>ROUNDUP(MAX(0,ROUND(J10-G10,10)),0)</f>
        <v>0</v>
      </c>
      <c r="M10" s="5" t="n">
        <v>133679</v>
      </c>
      <c r="N10" s="6" t="inlineStr">
        <is>
          <t>ثبت عددی</t>
        </is>
      </c>
      <c r="O10" s="6" t="inlineStr">
        <is>
          <t>عدد</t>
        </is>
      </c>
      <c r="P10" s="6" t="inlineStr">
        <is>
          <t>سهم جایگزین طبق BOM؛ نیازمند تأیید</t>
        </is>
      </c>
      <c r="Q10" s="9" t="n"/>
      <c r="R10" s="9" t="n"/>
    </row>
    <row r="11" ht="20" customHeight="1">
      <c r="A11" s="10" t="n">
        <v>1110095</v>
      </c>
      <c r="B11" s="11" t="inlineStr">
        <is>
          <t>Capacitor 100nF,X7R,50V,10%</t>
        </is>
      </c>
      <c r="C11" s="12">
        <f>ROUNDUP(MAX(0,ROUND(I11+J11-G11,10)),0)</f>
        <v>52271</v>
      </c>
      <c r="D11" s="8" t="n"/>
      <c r="E11" s="11" t="inlineStr">
        <is>
          <t>ندارد</t>
        </is>
      </c>
      <c r="F11" s="11" t="inlineStr">
        <is>
          <t>-</t>
        </is>
      </c>
      <c r="G11" s="10" t="n">
        <v>163389</v>
      </c>
      <c r="H11" s="8" t="n"/>
      <c r="I11" s="10">
        <f>SUMIF('جزئیات BOM'!$G$4:$G$607,A11,'جزئیات BOM'!$S$4:$S$607)</f>
        <v>127740</v>
      </c>
      <c r="J11" s="10">
        <f>SUMIF('جزئیات BOM'!$G$4:$G$607,A11,'جزئیات BOM'!$T$4:$T$607)</f>
        <v>87920</v>
      </c>
      <c r="K11" s="10">
        <f>ROUND(G11-I11,10)</f>
        <v>35649</v>
      </c>
      <c r="L11" s="10">
        <f>ROUNDUP(MAX(0,ROUND(J11-G11,10)),0)</f>
        <v>0</v>
      </c>
      <c r="M11" s="10" t="n">
        <v>52271</v>
      </c>
      <c r="N11" s="11" t="inlineStr">
        <is>
          <t>ثبت عددی</t>
        </is>
      </c>
      <c r="O11" s="11" t="inlineStr">
        <is>
          <t>عدد</t>
        </is>
      </c>
      <c r="P11" s="11" t="inlineStr"/>
      <c r="Q11" s="13" t="n"/>
      <c r="R11" s="13" t="n"/>
    </row>
    <row r="12" ht="20" customHeight="1">
      <c r="A12" s="5" t="n">
        <v>1110183</v>
      </c>
      <c r="B12" s="6" t="inlineStr">
        <is>
          <t>Resistor 10K,5%,1/10W 0603</t>
        </is>
      </c>
      <c r="C12" s="7">
        <f>ROUNDUP(MAX(0,ROUND(I12+J12-G12,10)),0)</f>
        <v>50724</v>
      </c>
      <c r="D12" s="8" t="n"/>
      <c r="E12" s="6" t="inlineStr">
        <is>
          <t>دارد</t>
        </is>
      </c>
      <c r="F12" s="6" t="inlineStr">
        <is>
          <t>1</t>
        </is>
      </c>
      <c r="G12" s="5" t="n">
        <v>102731</v>
      </c>
      <c r="H12" s="8" t="n"/>
      <c r="I12" s="5">
        <f>SUMIF('جزئیات BOM'!$G$4:$G$607,A12,'جزئیات BOM'!$S$4:$S$607)</f>
        <v>84715</v>
      </c>
      <c r="J12" s="5">
        <f>SUMIF('جزئیات BOM'!$G$4:$G$607,A12,'جزئیات BOM'!$T$4:$T$607)</f>
        <v>68740</v>
      </c>
      <c r="K12" s="5">
        <f>ROUND(G12-I12,10)</f>
        <v>18016</v>
      </c>
      <c r="L12" s="5">
        <f>ROUNDUP(MAX(0,ROUND(J12-G12,10)),0)</f>
        <v>0</v>
      </c>
      <c r="M12" s="5" t="n">
        <v>57159</v>
      </c>
      <c r="N12" s="6" t="inlineStr">
        <is>
          <t>ثبت عددی</t>
        </is>
      </c>
      <c r="O12" s="6" t="inlineStr">
        <is>
          <t>عدد</t>
        </is>
      </c>
      <c r="P12" s="6" t="inlineStr">
        <is>
          <t>سهم جایگزین طبق BOM؛ نیازمند تأیید</t>
        </is>
      </c>
      <c r="Q12" s="9" t="n"/>
      <c r="R12" s="9" t="n"/>
    </row>
    <row r="13" ht="20" customHeight="1">
      <c r="A13" s="10" t="n">
        <v>1110576</v>
      </c>
      <c r="B13" s="11" t="inlineStr">
        <is>
          <t>Resistor 22K,5%,1/16W</t>
        </is>
      </c>
      <c r="C13" s="12">
        <f>ROUNDUP(MAX(0,ROUND(I13+J13-G13,10)),0)</f>
        <v>45820</v>
      </c>
      <c r="D13" s="8" t="n"/>
      <c r="E13" s="11" t="inlineStr">
        <is>
          <t>دارد</t>
        </is>
      </c>
      <c r="F13" s="11" t="inlineStr">
        <is>
          <t>1</t>
        </is>
      </c>
      <c r="G13" s="10" t="n">
        <v>38480</v>
      </c>
      <c r="H13" s="8" t="n"/>
      <c r="I13" s="10">
        <f>SUMIF('جزئیات BOM'!$G$4:$G$607,A13,'جزئیات BOM'!$S$4:$S$607)</f>
        <v>48300</v>
      </c>
      <c r="J13" s="10">
        <f>SUMIF('جزئیات BOM'!$G$4:$G$607,A13,'جزئیات BOM'!$T$4:$T$607)</f>
        <v>36000</v>
      </c>
      <c r="K13" s="10">
        <f>ROUND(G13-I13,10)</f>
        <v>-9820</v>
      </c>
      <c r="L13" s="10">
        <f>ROUNDUP(MAX(0,ROUND(J13-G13,10)),0)</f>
        <v>0</v>
      </c>
      <c r="M13" s="10" t="n">
        <v>103440</v>
      </c>
      <c r="N13" s="11" t="inlineStr">
        <is>
          <t>ثبت عددی</t>
        </is>
      </c>
      <c r="O13" s="11" t="inlineStr">
        <is>
          <t>عدد(شمارشی)</t>
        </is>
      </c>
      <c r="P13" s="11" t="inlineStr">
        <is>
          <t>سهم جایگزین طبق BOM؛ نیازمند تأیید</t>
        </is>
      </c>
      <c r="Q13" s="13" t="n"/>
      <c r="R13" s="13" t="n"/>
    </row>
    <row r="14" ht="20" customHeight="1">
      <c r="A14" s="5" t="n">
        <v>1110749</v>
      </c>
      <c r="B14" s="6" t="inlineStr">
        <is>
          <t>Resistor 47K ,1%,1/16W</t>
        </is>
      </c>
      <c r="C14" s="7">
        <f>ROUNDUP(MAX(0,ROUND(I14+J14-G14,10)),0)</f>
        <v>42155</v>
      </c>
      <c r="D14" s="8" t="n"/>
      <c r="E14" s="6" t="inlineStr">
        <is>
          <t>دارد</t>
        </is>
      </c>
      <c r="F14" s="6" t="inlineStr">
        <is>
          <t>2</t>
        </is>
      </c>
      <c r="G14" s="5" t="n">
        <v>18575</v>
      </c>
      <c r="H14" s="8" t="n"/>
      <c r="I14" s="5">
        <f>SUMIF('جزئیات BOM'!$G$4:$G$607,A14,'جزئیات BOM'!$S$4:$S$607)</f>
        <v>33390</v>
      </c>
      <c r="J14" s="5">
        <f>SUMIF('جزئیات BOM'!$G$4:$G$607,A14,'جزئیات BOM'!$T$4:$T$607)</f>
        <v>27340</v>
      </c>
      <c r="K14" s="5">
        <f>ROUND(G14-I14,10)</f>
        <v>-14815</v>
      </c>
      <c r="L14" s="5">
        <f>ROUNDUP(MAX(0,ROUND(J14-G14,10)),0)</f>
        <v>8765</v>
      </c>
      <c r="M14" s="5" t="n">
        <v>39945</v>
      </c>
      <c r="N14" s="6" t="inlineStr">
        <is>
          <t>ثبت عددی</t>
        </is>
      </c>
      <c r="O14" s="6" t="inlineStr">
        <is>
          <t>عدد</t>
        </is>
      </c>
      <c r="P14" s="6" t="inlineStr">
        <is>
          <t>سهم جایگزین طبق BOM؛ نیازمند تأیید</t>
        </is>
      </c>
      <c r="Q14" s="9" t="n"/>
      <c r="R14" s="9" t="n"/>
    </row>
    <row r="15" ht="20" customHeight="1">
      <c r="A15" s="10" t="n">
        <v>1110901</v>
      </c>
      <c r="B15" s="11" t="inlineStr">
        <is>
          <t>Diode 1N4007WS</t>
        </is>
      </c>
      <c r="C15" s="12">
        <f>ROUNDUP(MAX(0,ROUND(I15+J15-G15,10)),0)</f>
        <v>39469</v>
      </c>
      <c r="D15" s="8" t="n"/>
      <c r="E15" s="11" t="inlineStr">
        <is>
          <t>دارد</t>
        </is>
      </c>
      <c r="F15" s="11" t="inlineStr">
        <is>
          <t>2</t>
        </is>
      </c>
      <c r="G15" s="10" t="n">
        <v>156451</v>
      </c>
      <c r="H15" s="8" t="n"/>
      <c r="I15" s="10">
        <f>SUMIF('جزئیات BOM'!$G$4:$G$607,A15,'جزئیات BOM'!$S$4:$S$607)</f>
        <v>109640</v>
      </c>
      <c r="J15" s="10">
        <f>SUMIF('جزئیات BOM'!$G$4:$G$607,A15,'جزئیات BOM'!$T$4:$T$607)</f>
        <v>86280</v>
      </c>
      <c r="K15" s="10">
        <f>ROUND(G15-I15,10)</f>
        <v>46811</v>
      </c>
      <c r="L15" s="10">
        <f>ROUNDUP(MAX(0,ROUND(J15-G15,10)),0)</f>
        <v>0</v>
      </c>
      <c r="M15" s="10" t="n">
        <v>39469</v>
      </c>
      <c r="N15" s="11" t="inlineStr">
        <is>
          <t>ثبت عددی</t>
        </is>
      </c>
      <c r="O15" s="11" t="inlineStr">
        <is>
          <t>عدد</t>
        </is>
      </c>
      <c r="P15" s="11" t="inlineStr">
        <is>
          <t>سهم جایگزین طبق BOM؛ نیازمند تأیید | ۱۰۰٪ تکراری: اولویت اول</t>
        </is>
      </c>
      <c r="Q15" s="13" t="n"/>
      <c r="R15" s="13" t="n"/>
    </row>
    <row r="16" ht="20" customHeight="1">
      <c r="A16" s="5" t="n">
        <v>1110242</v>
      </c>
      <c r="B16" s="6" t="inlineStr">
        <is>
          <t>Resistor 680,1%,1/4W.</t>
        </is>
      </c>
      <c r="C16" s="7">
        <f>ROUNDUP(MAX(0,ROUND(I16+J16-G16,10)),0)</f>
        <v>32860</v>
      </c>
      <c r="D16" s="8" t="n"/>
      <c r="E16" s="6" t="inlineStr">
        <is>
          <t>دارد</t>
        </is>
      </c>
      <c r="F16" s="6" t="inlineStr">
        <is>
          <t>2</t>
        </is>
      </c>
      <c r="G16" s="5" t="n">
        <v>0</v>
      </c>
      <c r="H16" s="8" t="n"/>
      <c r="I16" s="5">
        <f>SUMIF('جزئیات BOM'!$G$4:$G$607,A16,'جزئیات BOM'!$S$4:$S$607)</f>
        <v>22820</v>
      </c>
      <c r="J16" s="5">
        <f>SUMIF('جزئیات BOM'!$G$4:$G$607,A16,'جزئیات BOM'!$T$4:$T$607)</f>
        <v>10040</v>
      </c>
      <c r="K16" s="5">
        <f>ROUND(G16-I16,10)</f>
        <v>-22820</v>
      </c>
      <c r="L16" s="5">
        <f>ROUNDUP(MAX(0,ROUND(J16-G16,10)),0)</f>
        <v>10040</v>
      </c>
      <c r="M16" s="5" t="n">
        <v>0</v>
      </c>
      <c r="N16" s="6" t="inlineStr">
        <is>
          <t>ثبت عددی</t>
        </is>
      </c>
      <c r="O16" s="6" t="inlineStr">
        <is>
          <t>عدد</t>
        </is>
      </c>
      <c r="P16" s="6" t="inlineStr">
        <is>
          <t>سهم جایگزین طبق BOM؛ نیازمند تأیید</t>
        </is>
      </c>
      <c r="Q16" s="9" t="n"/>
      <c r="R16" s="9" t="n"/>
    </row>
    <row r="17" ht="20" customHeight="1">
      <c r="A17" s="10" t="n">
        <v>1110562</v>
      </c>
      <c r="B17" s="11" t="inlineStr">
        <is>
          <t>Capacitor 100nF ±10% 25V X7R</t>
        </is>
      </c>
      <c r="C17" s="12">
        <f>ROUNDUP(MAX(0,ROUND(I17+J17-G17,10)),0)</f>
        <v>31505</v>
      </c>
      <c r="D17" s="8" t="n"/>
      <c r="E17" s="11" t="inlineStr">
        <is>
          <t>ندارد</t>
        </is>
      </c>
      <c r="F17" s="11" t="inlineStr">
        <is>
          <t>-</t>
        </is>
      </c>
      <c r="G17" s="10" t="n">
        <v>12145</v>
      </c>
      <c r="H17" s="8" t="n"/>
      <c r="I17" s="10">
        <f>SUMIF('جزئیات BOM'!$G$4:$G$607,A17,'جزئیات BOM'!$S$4:$S$607)</f>
        <v>22050</v>
      </c>
      <c r="J17" s="10">
        <f>SUMIF('جزئیات BOM'!$G$4:$G$607,A17,'جزئیات BOM'!$T$4:$T$607)</f>
        <v>21600</v>
      </c>
      <c r="K17" s="10">
        <f>ROUND(G17-I17,10)</f>
        <v>-9905</v>
      </c>
      <c r="L17" s="10">
        <f>ROUNDUP(MAX(0,ROUND(J17-G17,10)),0)</f>
        <v>9455</v>
      </c>
      <c r="M17" s="10" t="n">
        <v>31505</v>
      </c>
      <c r="N17" s="11" t="inlineStr">
        <is>
          <t>ثبت عددی</t>
        </is>
      </c>
      <c r="O17" s="11" t="inlineStr">
        <is>
          <t>عدد(شمارشی)</t>
        </is>
      </c>
      <c r="P17" s="11" t="inlineStr"/>
      <c r="Q17" s="13" t="n"/>
      <c r="R17" s="13" t="n"/>
    </row>
    <row r="18" ht="20" customHeight="1">
      <c r="A18" s="5" t="n">
        <v>1110708</v>
      </c>
      <c r="B18" s="6" t="inlineStr">
        <is>
          <t>Resistor 1K,5%,1/10W (3004604</t>
        </is>
      </c>
      <c r="C18" s="7">
        <f>ROUNDUP(MAX(0,ROUND(I18+J18-G18,10)),0)</f>
        <v>27192</v>
      </c>
      <c r="D18" s="8" t="n"/>
      <c r="E18" s="6" t="inlineStr">
        <is>
          <t>دارد</t>
        </is>
      </c>
      <c r="F18" s="6" t="inlineStr">
        <is>
          <t>1</t>
        </is>
      </c>
      <c r="G18" s="5" t="n">
        <v>24728</v>
      </c>
      <c r="H18" s="8" t="n"/>
      <c r="I18" s="5">
        <f>SUMIF('جزئیات BOM'!$G$4:$G$607,A18,'جزئیات BOM'!$S$4:$S$607)</f>
        <v>22640</v>
      </c>
      <c r="J18" s="5">
        <f>SUMIF('جزئیات BOM'!$G$4:$G$607,A18,'جزئیات BOM'!$T$4:$T$607)</f>
        <v>29280</v>
      </c>
      <c r="K18" s="5">
        <f>ROUND(G18-I18,10)</f>
        <v>2088</v>
      </c>
      <c r="L18" s="5">
        <f>ROUNDUP(MAX(0,ROUND(J18-G18,10)),0)</f>
        <v>4552</v>
      </c>
      <c r="M18" s="5" t="n">
        <v>22085</v>
      </c>
      <c r="N18" s="6" t="inlineStr">
        <is>
          <t>ثبت عددی</t>
        </is>
      </c>
      <c r="O18" s="6" t="inlineStr">
        <is>
          <t>عدد</t>
        </is>
      </c>
      <c r="P18" s="6" t="inlineStr">
        <is>
          <t>سهم جایگزین طبق BOM؛ نیازمند تأیید</t>
        </is>
      </c>
      <c r="Q18" s="9" t="n"/>
      <c r="R18" s="9" t="n"/>
    </row>
    <row r="19" ht="20" customHeight="1">
      <c r="A19" s="10" t="n">
        <v>1110132</v>
      </c>
      <c r="B19" s="11" t="inlineStr">
        <is>
          <t>Capacitor 1nF,X7R,50V,10% (3003864</t>
        </is>
      </c>
      <c r="C19" s="12">
        <f>ROUNDUP(MAX(0,ROUND(I19+J19-G19,10)),0)</f>
        <v>24861</v>
      </c>
      <c r="D19" s="8" t="n"/>
      <c r="E19" s="11" t="inlineStr">
        <is>
          <t>ندارد</t>
        </is>
      </c>
      <c r="F19" s="11" t="inlineStr">
        <is>
          <t>-</t>
        </is>
      </c>
      <c r="G19" s="10" t="n">
        <v>28709</v>
      </c>
      <c r="H19" s="8" t="n"/>
      <c r="I19" s="10">
        <f>SUMIF('جزئیات BOM'!$G$4:$G$607,A19,'جزئیات BOM'!$S$4:$S$607)</f>
        <v>29290</v>
      </c>
      <c r="J19" s="10">
        <f>SUMIF('جزئیات BOM'!$G$4:$G$607,A19,'جزئیات BOM'!$T$4:$T$607)</f>
        <v>24280</v>
      </c>
      <c r="K19" s="10">
        <f>ROUND(G19-I19,10)</f>
        <v>-581</v>
      </c>
      <c r="L19" s="10">
        <f>ROUNDUP(MAX(0,ROUND(J19-G19,10)),0)</f>
        <v>0</v>
      </c>
      <c r="M19" s="10" t="n">
        <v>24861</v>
      </c>
      <c r="N19" s="11" t="inlineStr">
        <is>
          <t>ثبت عددی</t>
        </is>
      </c>
      <c r="O19" s="11" t="inlineStr">
        <is>
          <t>عدد</t>
        </is>
      </c>
      <c r="P19" s="11" t="inlineStr"/>
      <c r="Q19" s="13" t="n"/>
      <c r="R19" s="13" t="n"/>
    </row>
    <row r="20" ht="20" customHeight="1">
      <c r="A20" s="5" t="n">
        <v>1110960</v>
      </c>
      <c r="B20" s="6" t="inlineStr">
        <is>
          <t>LED Red LS</t>
        </is>
      </c>
      <c r="C20" s="7">
        <f>ROUNDUP(MAX(0,ROUND(I20+J20-G20,10)),0)</f>
        <v>23040</v>
      </c>
      <c r="D20" s="8" t="n"/>
      <c r="E20" s="6" t="inlineStr">
        <is>
          <t>دارد</t>
        </is>
      </c>
      <c r="F20" s="6" t="inlineStr">
        <is>
          <t>2</t>
        </is>
      </c>
      <c r="G20" s="5" t="n">
        <v>0</v>
      </c>
      <c r="H20" s="8" t="n"/>
      <c r="I20" s="5">
        <f>SUMIF('جزئیات BOM'!$G$4:$G$607,A20,'جزئیات BOM'!$S$4:$S$607)</f>
        <v>16080</v>
      </c>
      <c r="J20" s="5">
        <f>SUMIF('جزئیات BOM'!$G$4:$G$607,A20,'جزئیات BOM'!$T$4:$T$607)</f>
        <v>6960</v>
      </c>
      <c r="K20" s="5">
        <f>ROUND(G20-I20,10)</f>
        <v>-16080</v>
      </c>
      <c r="L20" s="5">
        <f>ROUNDUP(MAX(0,ROUND(J20-G20,10)),0)</f>
        <v>6960</v>
      </c>
      <c r="M20" s="5" t="n">
        <v>0</v>
      </c>
      <c r="N20" s="14" t="inlineStr">
        <is>
          <t>خالی در فایل؛ فرض صفر</t>
        </is>
      </c>
      <c r="O20" s="6" t="inlineStr">
        <is>
          <t>عدد</t>
        </is>
      </c>
      <c r="P20" s="6" t="inlineStr">
        <is>
          <t>سهم جایگزین طبق BOM؛ نیازمند تأیید | موجودی نامشخص؛ صفر فرض شده</t>
        </is>
      </c>
      <c r="Q20" s="9" t="n"/>
      <c r="R20" s="9" t="n"/>
    </row>
    <row r="21" ht="20" customHeight="1">
      <c r="A21" s="10" t="n">
        <v>1110702</v>
      </c>
      <c r="B21" s="11" t="inlineStr">
        <is>
          <t>resistor 10K,1%,1/10W</t>
        </is>
      </c>
      <c r="C21" s="12">
        <f>ROUNDUP(MAX(0,ROUND(I21+J21-G21,10)),0)</f>
        <v>22629</v>
      </c>
      <c r="D21" s="8" t="n"/>
      <c r="E21" s="11" t="inlineStr">
        <is>
          <t>دارد</t>
        </is>
      </c>
      <c r="F21" s="11" t="inlineStr">
        <is>
          <t>2</t>
        </is>
      </c>
      <c r="G21" s="10" t="n">
        <v>12906</v>
      </c>
      <c r="H21" s="8" t="n"/>
      <c r="I21" s="10">
        <f>SUMIF('جزئیات BOM'!$G$4:$G$607,A21,'جزئیات BOM'!$S$4:$S$607)</f>
        <v>20395</v>
      </c>
      <c r="J21" s="10">
        <f>SUMIF('جزئیات BOM'!$G$4:$G$607,A21,'جزئیات BOM'!$T$4:$T$607)</f>
        <v>15140</v>
      </c>
      <c r="K21" s="10">
        <f>ROUND(G21-I21,10)</f>
        <v>-7489</v>
      </c>
      <c r="L21" s="10">
        <f>ROUNDUP(MAX(0,ROUND(J21-G21,10)),0)</f>
        <v>2234</v>
      </c>
      <c r="M21" s="10" t="n">
        <v>16194</v>
      </c>
      <c r="N21" s="11" t="inlineStr">
        <is>
          <t>ثبت عددی</t>
        </is>
      </c>
      <c r="O21" s="11" t="inlineStr">
        <is>
          <t>عدد</t>
        </is>
      </c>
      <c r="P21" s="11" t="inlineStr">
        <is>
          <t>سهم جایگزین طبق BOM؛ نیازمند تأیید</t>
        </is>
      </c>
      <c r="Q21" s="13" t="n"/>
      <c r="R21" s="13" t="n"/>
    </row>
    <row r="22" ht="20" customHeight="1">
      <c r="A22" s="5" t="n">
        <v>1110564</v>
      </c>
      <c r="B22" s="6" t="inlineStr">
        <is>
          <t>Capacitor 100pf ±5% 25V  X8R</t>
        </is>
      </c>
      <c r="C22" s="7">
        <f>ROUNDUP(MAX(0,ROUND(I22+J22-G22,10)),0)</f>
        <v>19452</v>
      </c>
      <c r="D22" s="8" t="n"/>
      <c r="E22" s="6" t="inlineStr">
        <is>
          <t>ندارد</t>
        </is>
      </c>
      <c r="F22" s="6" t="inlineStr">
        <is>
          <t>-</t>
        </is>
      </c>
      <c r="G22" s="5" t="n">
        <v>9648</v>
      </c>
      <c r="H22" s="8" t="n"/>
      <c r="I22" s="5">
        <f>SUMIF('جزئیات BOM'!$G$4:$G$607,A22,'جزئیات BOM'!$S$4:$S$607)</f>
        <v>14700</v>
      </c>
      <c r="J22" s="5">
        <f>SUMIF('جزئیات BOM'!$G$4:$G$607,A22,'جزئیات BOM'!$T$4:$T$607)</f>
        <v>14400</v>
      </c>
      <c r="K22" s="5">
        <f>ROUND(G22-I22,10)</f>
        <v>-5052</v>
      </c>
      <c r="L22" s="5">
        <f>ROUNDUP(MAX(0,ROUND(J22-G22,10)),0)</f>
        <v>4752</v>
      </c>
      <c r="M22" s="5" t="n">
        <v>19452</v>
      </c>
      <c r="N22" s="6" t="inlineStr">
        <is>
          <t>ثبت عددی</t>
        </is>
      </c>
      <c r="O22" s="6" t="inlineStr">
        <is>
          <t>عدد(شمارشی)</t>
        </is>
      </c>
      <c r="P22" s="6" t="inlineStr"/>
      <c r="Q22" s="9" t="n"/>
      <c r="R22" s="9" t="n"/>
    </row>
    <row r="23" ht="20" customHeight="1">
      <c r="A23" s="10" t="n">
        <v>1110914</v>
      </c>
      <c r="B23" s="11" t="inlineStr">
        <is>
          <t>Diode BAV99WT1G</t>
        </is>
      </c>
      <c r="C23" s="12">
        <f>ROUNDUP(MAX(0,ROUND(I23+J23-G23,10)),0)</f>
        <v>18840</v>
      </c>
      <c r="D23" s="8" t="n"/>
      <c r="E23" s="11" t="inlineStr">
        <is>
          <t>ندارد</t>
        </is>
      </c>
      <c r="F23" s="11" t="inlineStr">
        <is>
          <t>-</t>
        </is>
      </c>
      <c r="G23" s="10" t="n">
        <v>61650</v>
      </c>
      <c r="H23" s="8" t="n"/>
      <c r="I23" s="10">
        <f>SUMIF('جزئیات BOM'!$G$4:$G$607,A23,'جزئیات BOM'!$S$4:$S$607)</f>
        <v>44490</v>
      </c>
      <c r="J23" s="10">
        <f>SUMIF('جزئیات BOM'!$G$4:$G$607,A23,'جزئیات BOM'!$T$4:$T$607)</f>
        <v>36000</v>
      </c>
      <c r="K23" s="10">
        <f>ROUND(G23-I23,10)</f>
        <v>17160</v>
      </c>
      <c r="L23" s="10">
        <f>ROUNDUP(MAX(0,ROUND(J23-G23,10)),0)</f>
        <v>0</v>
      </c>
      <c r="M23" s="10" t="n">
        <v>18840</v>
      </c>
      <c r="N23" s="11" t="inlineStr">
        <is>
          <t>ثبت عددی</t>
        </is>
      </c>
      <c r="O23" s="11" t="inlineStr">
        <is>
          <t>عدد</t>
        </is>
      </c>
      <c r="P23" s="11" t="inlineStr"/>
      <c r="Q23" s="13" t="n"/>
      <c r="R23" s="13" t="n"/>
    </row>
    <row r="24" ht="20" customHeight="1">
      <c r="A24" s="5" t="n">
        <v>1110746</v>
      </c>
      <c r="B24" s="6" t="inlineStr">
        <is>
          <t>Resistor 0 ,5%,1W</t>
        </is>
      </c>
      <c r="C24" s="7">
        <f>ROUNDUP(MAX(0,ROUND(I24+J24-G24,10)),0)</f>
        <v>18530</v>
      </c>
      <c r="D24" s="8" t="n"/>
      <c r="E24" s="6" t="inlineStr">
        <is>
          <t>دارد</t>
        </is>
      </c>
      <c r="F24" s="6" t="inlineStr">
        <is>
          <t>2</t>
        </is>
      </c>
      <c r="G24" s="5" t="n">
        <v>0</v>
      </c>
      <c r="H24" s="8" t="n"/>
      <c r="I24" s="5">
        <f>SUMIF('جزئیات BOM'!$G$4:$G$607,A24,'جزئیات BOM'!$S$4:$S$607)</f>
        <v>10130</v>
      </c>
      <c r="J24" s="5">
        <f>SUMIF('جزئیات BOM'!$G$4:$G$607,A24,'جزئیات BOM'!$T$4:$T$607)</f>
        <v>8400</v>
      </c>
      <c r="K24" s="5">
        <f>ROUND(G24-I24,10)</f>
        <v>-10130</v>
      </c>
      <c r="L24" s="5">
        <f>ROUNDUP(MAX(0,ROUND(J24-G24,10)),0)</f>
        <v>8400</v>
      </c>
      <c r="M24" s="5" t="n">
        <v>0</v>
      </c>
      <c r="N24" s="14" t="inlineStr">
        <is>
          <t>خالی در فایل؛ فرض صفر</t>
        </is>
      </c>
      <c r="O24" s="6" t="inlineStr">
        <is>
          <t>عدد</t>
        </is>
      </c>
      <c r="P24" s="6" t="inlineStr">
        <is>
          <t>سهم جایگزین طبق BOM؛ نیازمند تأیید | موجودی نامشخص؛ صفر فرض شده</t>
        </is>
      </c>
      <c r="Q24" s="9" t="n"/>
      <c r="R24" s="9" t="n"/>
    </row>
    <row r="25" ht="20" customHeight="1">
      <c r="A25" s="10" t="n">
        <v>1110760</v>
      </c>
      <c r="B25" s="11" t="inlineStr">
        <is>
          <t>Resistor 47,5%,1/10W</t>
        </is>
      </c>
      <c r="C25" s="12">
        <f>ROUNDUP(MAX(0,ROUND(I25+J25-G25,10)),0)</f>
        <v>17057</v>
      </c>
      <c r="D25" s="8" t="n"/>
      <c r="E25" s="11" t="inlineStr">
        <is>
          <t>ندارد</t>
        </is>
      </c>
      <c r="F25" s="11" t="inlineStr">
        <is>
          <t>-</t>
        </is>
      </c>
      <c r="G25" s="10" t="n">
        <v>26603</v>
      </c>
      <c r="H25" s="8" t="n"/>
      <c r="I25" s="10">
        <f>SUMIF('جزئیات BOM'!$G$4:$G$607,A25,'جزئیات BOM'!$S$4:$S$607)</f>
        <v>24500</v>
      </c>
      <c r="J25" s="10">
        <f>SUMIF('جزئیات BOM'!$G$4:$G$607,A25,'جزئیات BOM'!$T$4:$T$607)</f>
        <v>19160</v>
      </c>
      <c r="K25" s="10">
        <f>ROUND(G25-I25,10)</f>
        <v>2103</v>
      </c>
      <c r="L25" s="10">
        <f>ROUNDUP(MAX(0,ROUND(J25-G25,10)),0)</f>
        <v>0</v>
      </c>
      <c r="M25" s="10" t="n">
        <v>17057</v>
      </c>
      <c r="N25" s="11" t="inlineStr">
        <is>
          <t>ثبت عددی</t>
        </is>
      </c>
      <c r="O25" s="11" t="inlineStr">
        <is>
          <t>عدد</t>
        </is>
      </c>
      <c r="P25" s="11" t="inlineStr"/>
      <c r="Q25" s="13" t="n"/>
      <c r="R25" s="13" t="n"/>
    </row>
    <row r="26" ht="20" customHeight="1">
      <c r="A26" s="5" t="n">
        <v>1110604</v>
      </c>
      <c r="B26" s="6" t="inlineStr">
        <is>
          <t>Transistor BC807-40</t>
        </is>
      </c>
      <c r="C26" s="7">
        <f>ROUNDUP(MAX(0,ROUND(I26+J26-G26,10)),0)</f>
        <v>17004</v>
      </c>
      <c r="D26" s="8" t="n"/>
      <c r="E26" s="6" t="inlineStr">
        <is>
          <t>دارد</t>
        </is>
      </c>
      <c r="F26" s="6" t="inlineStr">
        <is>
          <t>1</t>
        </is>
      </c>
      <c r="G26" s="5" t="n">
        <v>10376</v>
      </c>
      <c r="H26" s="8" t="n"/>
      <c r="I26" s="5">
        <f>SUMIF('جزئیات BOM'!$G$4:$G$607,A26,'جزئیات BOM'!$S$4:$S$607)</f>
        <v>13020</v>
      </c>
      <c r="J26" s="5">
        <f>SUMIF('جزئیات BOM'!$G$4:$G$607,A26,'جزئیات BOM'!$T$4:$T$607)</f>
        <v>14360</v>
      </c>
      <c r="K26" s="5">
        <f>ROUND(G26-I26,10)</f>
        <v>-2644</v>
      </c>
      <c r="L26" s="5">
        <f>ROUNDUP(MAX(0,ROUND(J26-G26,10)),0)</f>
        <v>3984</v>
      </c>
      <c r="M26" s="5" t="n">
        <v>12020</v>
      </c>
      <c r="N26" s="6" t="inlineStr">
        <is>
          <t>ثبت عددی</t>
        </is>
      </c>
      <c r="O26" s="6" t="inlineStr">
        <is>
          <t>عدد</t>
        </is>
      </c>
      <c r="P26" s="6" t="inlineStr">
        <is>
          <t>سهم جایگزین طبق BOM؛ نیازمند تأیید | ۱۰۰٪ تکراری: اولویت اول</t>
        </is>
      </c>
      <c r="Q26" s="9" t="n"/>
      <c r="R26" s="9" t="n"/>
    </row>
    <row r="27" ht="20" customHeight="1">
      <c r="A27" s="10" t="n">
        <v>1110563</v>
      </c>
      <c r="B27" s="11" t="inlineStr">
        <is>
          <t>Capacitor 10nF ±5% 25V C0G</t>
        </is>
      </c>
      <c r="C27" s="12">
        <f>ROUNDUP(MAX(0,ROUND(I27+J27-G27,10)),0)</f>
        <v>16070</v>
      </c>
      <c r="D27" s="8" t="n"/>
      <c r="E27" s="11" t="inlineStr">
        <is>
          <t>ندارد</t>
        </is>
      </c>
      <c r="F27" s="11" t="inlineStr">
        <is>
          <t>-</t>
        </is>
      </c>
      <c r="G27" s="10" t="n">
        <v>13030</v>
      </c>
      <c r="H27" s="8" t="n"/>
      <c r="I27" s="10">
        <f>SUMIF('جزئیات BOM'!$G$4:$G$607,A27,'جزئیات BOM'!$S$4:$S$607)</f>
        <v>14700</v>
      </c>
      <c r="J27" s="10">
        <f>SUMIF('جزئیات BOM'!$G$4:$G$607,A27,'جزئیات BOM'!$T$4:$T$607)</f>
        <v>14400</v>
      </c>
      <c r="K27" s="10">
        <f>ROUND(G27-I27,10)</f>
        <v>-1670</v>
      </c>
      <c r="L27" s="10">
        <f>ROUNDUP(MAX(0,ROUND(J27-G27,10)),0)</f>
        <v>1370</v>
      </c>
      <c r="M27" s="10" t="n">
        <v>16070</v>
      </c>
      <c r="N27" s="11" t="inlineStr">
        <is>
          <t>ثبت عددی</t>
        </is>
      </c>
      <c r="O27" s="11" t="inlineStr">
        <is>
          <t>عدد(شمارشی)</t>
        </is>
      </c>
      <c r="P27" s="11" t="inlineStr"/>
      <c r="Q27" s="13" t="n"/>
      <c r="R27" s="13" t="n"/>
    </row>
    <row r="28" ht="20" customHeight="1">
      <c r="A28" s="5" t="n">
        <v>1110247</v>
      </c>
      <c r="B28" s="6" t="inlineStr">
        <is>
          <t>Resistor 560,1%,1/4w</t>
        </is>
      </c>
      <c r="C28" s="7">
        <f>ROUNDUP(MAX(0,ROUND(I28+J28-G28,10)),0)</f>
        <v>15250</v>
      </c>
      <c r="D28" s="8" t="n"/>
      <c r="E28" s="6" t="inlineStr">
        <is>
          <t>دارد</t>
        </is>
      </c>
      <c r="F28" s="6" t="inlineStr">
        <is>
          <t>2</t>
        </is>
      </c>
      <c r="G28" s="5" t="n">
        <v>0</v>
      </c>
      <c r="H28" s="8" t="n"/>
      <c r="I28" s="5">
        <f>SUMIF('جزئیات BOM'!$G$4:$G$607,A28,'جزئیات BOM'!$S$4:$S$607)</f>
        <v>10550</v>
      </c>
      <c r="J28" s="5">
        <f>SUMIF('جزئیات BOM'!$G$4:$G$607,A28,'جزئیات BOM'!$T$4:$T$607)</f>
        <v>4700</v>
      </c>
      <c r="K28" s="5">
        <f>ROUND(G28-I28,10)</f>
        <v>-10550</v>
      </c>
      <c r="L28" s="5">
        <f>ROUNDUP(MAX(0,ROUND(J28-G28,10)),0)</f>
        <v>4700</v>
      </c>
      <c r="M28" s="5" t="n">
        <v>0</v>
      </c>
      <c r="N28" s="14" t="inlineStr">
        <is>
          <t>خالی در فایل؛ فرض صفر</t>
        </is>
      </c>
      <c r="O28" s="6" t="inlineStr">
        <is>
          <t>عدد</t>
        </is>
      </c>
      <c r="P28" s="6" t="inlineStr">
        <is>
          <t>سهم جایگزین طبق BOM؛ نیازمند تأیید | موجودی نامشخص؛ صفر فرض شده</t>
        </is>
      </c>
      <c r="Q28" s="9" t="n"/>
      <c r="R28" s="9" t="n"/>
    </row>
    <row r="29" ht="20" customHeight="1">
      <c r="A29" s="10" t="n">
        <v>1110808</v>
      </c>
      <c r="B29" s="11" t="inlineStr">
        <is>
          <t>Diode Zener BZT52B5V6</t>
        </is>
      </c>
      <c r="C29" s="12">
        <f>ROUNDUP(MAX(0,ROUND(I29+J29-G29,10)),0)</f>
        <v>14501</v>
      </c>
      <c r="D29" s="8" t="n"/>
      <c r="E29" s="11" t="inlineStr">
        <is>
          <t>ندارد</t>
        </is>
      </c>
      <c r="F29" s="11" t="inlineStr">
        <is>
          <t>-</t>
        </is>
      </c>
      <c r="G29" s="10" t="n">
        <v>9359</v>
      </c>
      <c r="H29" s="8" t="n"/>
      <c r="I29" s="10">
        <f>SUMIF('جزئیات BOM'!$G$4:$G$607,A29,'جزئیات BOM'!$S$4:$S$607)</f>
        <v>13100</v>
      </c>
      <c r="J29" s="10">
        <f>SUMIF('جزئیات BOM'!$G$4:$G$607,A29,'جزئیات BOM'!$T$4:$T$607)</f>
        <v>10760</v>
      </c>
      <c r="K29" s="10">
        <f>ROUND(G29-I29,10)</f>
        <v>-3741</v>
      </c>
      <c r="L29" s="10">
        <f>ROUNDUP(MAX(0,ROUND(J29-G29,10)),0)</f>
        <v>1401</v>
      </c>
      <c r="M29" s="10" t="n">
        <v>14501</v>
      </c>
      <c r="N29" s="11" t="inlineStr">
        <is>
          <t>ثبت عددی</t>
        </is>
      </c>
      <c r="O29" s="11" t="inlineStr">
        <is>
          <t>عدد</t>
        </is>
      </c>
      <c r="P29" s="11" t="inlineStr"/>
      <c r="Q29" s="13" t="n"/>
      <c r="R29" s="13" t="n"/>
    </row>
    <row r="30" ht="20" customHeight="1">
      <c r="A30" s="5" t="n">
        <v>1110751</v>
      </c>
      <c r="B30" s="6" t="inlineStr">
        <is>
          <t>Resistor 0 Ohms ±5%  0.125W, 1/8W</t>
        </is>
      </c>
      <c r="C30" s="7">
        <f>ROUNDUP(MAX(0,ROUND(I30+J30-G30,10)),0)</f>
        <v>14225</v>
      </c>
      <c r="D30" s="8" t="n"/>
      <c r="E30" s="6" t="inlineStr">
        <is>
          <t>ندارد</t>
        </is>
      </c>
      <c r="F30" s="6" t="inlineStr">
        <is>
          <t>-</t>
        </is>
      </c>
      <c r="G30" s="5" t="n">
        <v>10025</v>
      </c>
      <c r="H30" s="8" t="n"/>
      <c r="I30" s="5">
        <f>SUMIF('جزئیات BOM'!$G$4:$G$607,A30,'جزئیات BOM'!$S$4:$S$607)</f>
        <v>12250</v>
      </c>
      <c r="J30" s="5">
        <f>SUMIF('جزئیات BOM'!$G$4:$G$607,A30,'جزئیات BOM'!$T$4:$T$607)</f>
        <v>12000</v>
      </c>
      <c r="K30" s="5">
        <f>ROUND(G30-I30,10)</f>
        <v>-2225</v>
      </c>
      <c r="L30" s="5">
        <f>ROUNDUP(MAX(0,ROUND(J30-G30,10)),0)</f>
        <v>1975</v>
      </c>
      <c r="M30" s="5" t="n">
        <v>14225</v>
      </c>
      <c r="N30" s="6" t="inlineStr">
        <is>
          <t>ثبت عددی</t>
        </is>
      </c>
      <c r="O30" s="6" t="inlineStr">
        <is>
          <t>عدد(شمارشی)</t>
        </is>
      </c>
      <c r="P30" s="6" t="inlineStr"/>
      <c r="Q30" s="9" t="n"/>
      <c r="R30" s="9" t="n"/>
    </row>
    <row r="31" ht="20" customHeight="1">
      <c r="A31" s="10" t="n">
        <v>1110748</v>
      </c>
      <c r="B31" s="11" t="inlineStr">
        <is>
          <t>Resistor 330, 1%, 1w</t>
        </is>
      </c>
      <c r="C31" s="12">
        <f>ROUNDUP(MAX(0,ROUND(I31+J31-G31,10)),0)</f>
        <v>13744</v>
      </c>
      <c r="D31" s="8" t="n"/>
      <c r="E31" s="11" t="inlineStr">
        <is>
          <t>دارد</t>
        </is>
      </c>
      <c r="F31" s="11" t="inlineStr">
        <is>
          <t>2</t>
        </is>
      </c>
      <c r="G31" s="10" t="n">
        <v>0</v>
      </c>
      <c r="H31" s="8" t="n"/>
      <c r="I31" s="10">
        <f>SUMIF('جزئیات BOM'!$G$4:$G$607,A31,'جزئیات BOM'!$S$4:$S$607)</f>
        <v>8044</v>
      </c>
      <c r="J31" s="10">
        <f>SUMIF('جزئیات BOM'!$G$4:$G$607,A31,'جزئیات BOM'!$T$4:$T$607)</f>
        <v>5700</v>
      </c>
      <c r="K31" s="10">
        <f>ROUND(G31-I31,10)</f>
        <v>-8044</v>
      </c>
      <c r="L31" s="10">
        <f>ROUNDUP(MAX(0,ROUND(J31-G31,10)),0)</f>
        <v>5700</v>
      </c>
      <c r="M31" s="10" t="n">
        <v>1980</v>
      </c>
      <c r="N31" s="11" t="inlineStr">
        <is>
          <t>ثبت عددی</t>
        </is>
      </c>
      <c r="O31" s="11" t="inlineStr">
        <is>
          <t>عدد</t>
        </is>
      </c>
      <c r="P31" s="11" t="inlineStr">
        <is>
          <t>سهم جایگزین طبق BOM؛ نیازمند تأیید</t>
        </is>
      </c>
      <c r="Q31" s="13" t="n"/>
      <c r="R31" s="13" t="n"/>
    </row>
    <row r="32" ht="20" customHeight="1">
      <c r="A32" s="5" t="n">
        <v>1110194</v>
      </c>
      <c r="B32" s="6" t="inlineStr">
        <is>
          <t>Resistor 100,1%,1/10W</t>
        </is>
      </c>
      <c r="C32" s="7">
        <f>ROUNDUP(MAX(0,ROUND(I32+J32-G32,10)),0)</f>
        <v>13111</v>
      </c>
      <c r="D32" s="8" t="n"/>
      <c r="E32" s="6" t="inlineStr">
        <is>
          <t>دارد</t>
        </is>
      </c>
      <c r="F32" s="6" t="inlineStr">
        <is>
          <t>2</t>
        </is>
      </c>
      <c r="G32" s="5" t="n">
        <v>39064</v>
      </c>
      <c r="H32" s="8" t="n"/>
      <c r="I32" s="5">
        <f>SUMIF('جزئیات BOM'!$G$4:$G$607,A32,'جزئیات BOM'!$S$4:$S$607)</f>
        <v>37775</v>
      </c>
      <c r="J32" s="5">
        <f>SUMIF('جزئیات BOM'!$G$4:$G$607,A32,'جزئیات BOM'!$T$4:$T$607)</f>
        <v>14400</v>
      </c>
      <c r="K32" s="5">
        <f>ROUND(G32-I32,10)</f>
        <v>1289</v>
      </c>
      <c r="L32" s="5">
        <f>ROUNDUP(MAX(0,ROUND(J32-G32,10)),0)</f>
        <v>0</v>
      </c>
      <c r="M32" s="5" t="n">
        <v>0</v>
      </c>
      <c r="N32" s="6" t="inlineStr">
        <is>
          <t>ثبت عددی</t>
        </is>
      </c>
      <c r="O32" s="6" t="inlineStr">
        <is>
          <t>عدد</t>
        </is>
      </c>
      <c r="P32" s="6" t="inlineStr">
        <is>
          <t>سهم جایگزین طبق BOM؛ نیازمند تأیید</t>
        </is>
      </c>
      <c r="Q32" s="9" t="n"/>
      <c r="R32" s="9" t="n"/>
    </row>
    <row r="33" ht="20" customHeight="1">
      <c r="A33" s="10" t="n">
        <v>1110763</v>
      </c>
      <c r="B33" s="11" t="inlineStr">
        <is>
          <t>Resistor 300K, 1%,1/16W</t>
        </is>
      </c>
      <c r="C33" s="12">
        <f>ROUNDUP(MAX(0,ROUND(I33+J33-G33,10)),0)</f>
        <v>12476</v>
      </c>
      <c r="D33" s="8" t="n"/>
      <c r="E33" s="11" t="inlineStr">
        <is>
          <t>ندارد</t>
        </is>
      </c>
      <c r="F33" s="11" t="inlineStr">
        <is>
          <t>-</t>
        </is>
      </c>
      <c r="G33" s="10" t="n">
        <v>8804</v>
      </c>
      <c r="H33" s="8" t="n"/>
      <c r="I33" s="10">
        <f>SUMIF('جزئیات BOM'!$G$4:$G$607,A33,'جزئیات BOM'!$S$4:$S$607)</f>
        <v>11680</v>
      </c>
      <c r="J33" s="10">
        <f>SUMIF('جزئیات BOM'!$G$4:$G$607,A33,'جزئیات BOM'!$T$4:$T$607)</f>
        <v>9600</v>
      </c>
      <c r="K33" s="10">
        <f>ROUND(G33-I33,10)</f>
        <v>-2876</v>
      </c>
      <c r="L33" s="10">
        <f>ROUNDUP(MAX(0,ROUND(J33-G33,10)),0)</f>
        <v>796</v>
      </c>
      <c r="M33" s="10" t="n">
        <v>12476</v>
      </c>
      <c r="N33" s="11" t="inlineStr">
        <is>
          <t>ثبت عددی</t>
        </is>
      </c>
      <c r="O33" s="11" t="inlineStr">
        <is>
          <t>عدد</t>
        </is>
      </c>
      <c r="P33" s="11" t="inlineStr"/>
      <c r="Q33" s="13" t="n"/>
      <c r="R33" s="13" t="n"/>
    </row>
    <row r="34" ht="20" customHeight="1">
      <c r="A34" s="5" t="n">
        <v>1110281</v>
      </c>
      <c r="B34" s="6" t="inlineStr">
        <is>
          <t>Resistor 1K,1%,1/4W</t>
        </is>
      </c>
      <c r="C34" s="7">
        <f>ROUNDUP(MAX(0,ROUND(I34+J34-G34,10)),0)</f>
        <v>11205</v>
      </c>
      <c r="D34" s="8" t="n"/>
      <c r="E34" s="6" t="inlineStr">
        <is>
          <t>دارد</t>
        </is>
      </c>
      <c r="F34" s="6" t="inlineStr">
        <is>
          <t>2</t>
        </is>
      </c>
      <c r="G34" s="5" t="n">
        <v>20</v>
      </c>
      <c r="H34" s="8" t="n"/>
      <c r="I34" s="5">
        <f>SUMIF('جزئیات BOM'!$G$4:$G$607,A34,'جزئیات BOM'!$S$4:$S$607)</f>
        <v>6425</v>
      </c>
      <c r="J34" s="5">
        <f>SUMIF('جزئیات BOM'!$G$4:$G$607,A34,'جزئیات BOM'!$T$4:$T$607)</f>
        <v>4800</v>
      </c>
      <c r="K34" s="5">
        <f>ROUND(G34-I34,10)</f>
        <v>-6405</v>
      </c>
      <c r="L34" s="5">
        <f>ROUNDUP(MAX(0,ROUND(J34-G34,10)),0)</f>
        <v>4780</v>
      </c>
      <c r="M34" s="5" t="n">
        <v>0</v>
      </c>
      <c r="N34" s="6" t="inlineStr">
        <is>
          <t>ثبت عددی</t>
        </is>
      </c>
      <c r="O34" s="6" t="inlineStr">
        <is>
          <t>عدد</t>
        </is>
      </c>
      <c r="P34" s="6" t="inlineStr">
        <is>
          <t>سهم جایگزین طبق BOM؛ نیازمند تأیید</t>
        </is>
      </c>
      <c r="Q34" s="9" t="n"/>
      <c r="R34" s="9" t="n"/>
    </row>
    <row r="35" ht="20" customHeight="1">
      <c r="A35" s="10" t="n">
        <v>1110196</v>
      </c>
      <c r="B35" s="11" t="inlineStr">
        <is>
          <t>Resistor 220k Ohms ±5%  0.125W, 1/8W</t>
        </is>
      </c>
      <c r="C35" s="12">
        <f>ROUNDUP(MAX(0,ROUND(I35+J35-G35,10)),0)</f>
        <v>9923</v>
      </c>
      <c r="D35" s="8" t="n"/>
      <c r="E35" s="11" t="inlineStr">
        <is>
          <t>ندارد</t>
        </is>
      </c>
      <c r="F35" s="11" t="inlineStr">
        <is>
          <t>-</t>
        </is>
      </c>
      <c r="G35" s="10" t="n">
        <v>9477</v>
      </c>
      <c r="H35" s="8" t="n"/>
      <c r="I35" s="10">
        <f>SUMIF('جزئیات BOM'!$G$4:$G$607,A35,'جزئیات BOM'!$S$4:$S$607)</f>
        <v>9800</v>
      </c>
      <c r="J35" s="10">
        <f>SUMIF('جزئیات BOM'!$G$4:$G$607,A35,'جزئیات BOM'!$T$4:$T$607)</f>
        <v>9600</v>
      </c>
      <c r="K35" s="10">
        <f>ROUND(G35-I35,10)</f>
        <v>-323</v>
      </c>
      <c r="L35" s="10">
        <f>ROUNDUP(MAX(0,ROUND(J35-G35,10)),0)</f>
        <v>123</v>
      </c>
      <c r="M35" s="10" t="n">
        <v>9923</v>
      </c>
      <c r="N35" s="11" t="inlineStr">
        <is>
          <t>ثبت عددی</t>
        </is>
      </c>
      <c r="O35" s="11" t="inlineStr">
        <is>
          <t>عدد(شمارشی)</t>
        </is>
      </c>
      <c r="P35" s="11" t="inlineStr"/>
      <c r="Q35" s="13" t="n"/>
      <c r="R35" s="13" t="n"/>
    </row>
    <row r="36" ht="20" customHeight="1">
      <c r="A36" s="5" t="n">
        <v>1111228</v>
      </c>
      <c r="B36" s="6" t="inlineStr">
        <is>
          <t>Tact SWITCH SET SKRWANE030</t>
        </is>
      </c>
      <c r="C36" s="7">
        <f>ROUNDUP(MAX(0,ROUND(I36+J36-G36,10)),0)</f>
        <v>9730</v>
      </c>
      <c r="D36" s="8" t="n"/>
      <c r="E36" s="6" t="inlineStr">
        <is>
          <t>ندارد</t>
        </is>
      </c>
      <c r="F36" s="6" t="inlineStr">
        <is>
          <t>-</t>
        </is>
      </c>
      <c r="G36" s="5" t="n">
        <v>14270</v>
      </c>
      <c r="H36" s="8" t="n"/>
      <c r="I36" s="5">
        <f>SUMIF('جزئیات BOM'!$G$4:$G$607,A36,'جزئیات BOM'!$S$4:$S$607)</f>
        <v>12000</v>
      </c>
      <c r="J36" s="5">
        <f>SUMIF('جزئیات BOM'!$G$4:$G$607,A36,'جزئیات BOM'!$T$4:$T$607)</f>
        <v>12000</v>
      </c>
      <c r="K36" s="5">
        <f>ROUND(G36-I36,10)</f>
        <v>2270</v>
      </c>
      <c r="L36" s="5">
        <f>ROUNDUP(MAX(0,ROUND(J36-G36,10)),0)</f>
        <v>0</v>
      </c>
      <c r="M36" s="5" t="n">
        <v>9730</v>
      </c>
      <c r="N36" s="6" t="inlineStr">
        <is>
          <t>ثبت عددی</t>
        </is>
      </c>
      <c r="O36" s="6" t="inlineStr">
        <is>
          <t>عدد(شمارشی)</t>
        </is>
      </c>
      <c r="P36" s="6" t="inlineStr"/>
      <c r="Q36" s="9" t="n"/>
      <c r="R36" s="9" t="n"/>
    </row>
    <row r="37" ht="20" customHeight="1">
      <c r="A37" s="10" t="n">
        <v>1110506</v>
      </c>
      <c r="B37" s="11" t="inlineStr">
        <is>
          <t>IC BTS7030-2EPA</t>
        </is>
      </c>
      <c r="C37" s="12">
        <f>ROUNDUP(MAX(0,ROUND(I37+J37-G37,10)),0)</f>
        <v>9464</v>
      </c>
      <c r="D37" s="8" t="n"/>
      <c r="E37" s="11" t="inlineStr">
        <is>
          <t>ندارد</t>
        </is>
      </c>
      <c r="F37" s="11" t="inlineStr">
        <is>
          <t>-</t>
        </is>
      </c>
      <c r="G37" s="10" t="n">
        <v>16956</v>
      </c>
      <c r="H37" s="8" t="n"/>
      <c r="I37" s="10">
        <f>SUMIF('جزئیات BOM'!$G$4:$G$607,A37,'جزئیات BOM'!$S$4:$S$607)</f>
        <v>14420</v>
      </c>
      <c r="J37" s="10">
        <f>SUMIF('جزئیات BOM'!$G$4:$G$607,A37,'جزئیات BOM'!$T$4:$T$607)</f>
        <v>12000</v>
      </c>
      <c r="K37" s="10">
        <f>ROUND(G37-I37,10)</f>
        <v>2536</v>
      </c>
      <c r="L37" s="10">
        <f>ROUNDUP(MAX(0,ROUND(J37-G37,10)),0)</f>
        <v>0</v>
      </c>
      <c r="M37" s="10" t="n">
        <v>9464</v>
      </c>
      <c r="N37" s="11" t="inlineStr">
        <is>
          <t>ثبت عددی</t>
        </is>
      </c>
      <c r="O37" s="11" t="inlineStr">
        <is>
          <t>عدد</t>
        </is>
      </c>
      <c r="P37" s="11" t="inlineStr"/>
      <c r="Q37" s="13" t="n"/>
      <c r="R37" s="13" t="n"/>
    </row>
    <row r="38" ht="20" customHeight="1">
      <c r="A38" s="5" t="n">
        <v>1110764</v>
      </c>
      <c r="B38" s="6" t="inlineStr">
        <is>
          <t>Shunt 10mf</t>
        </is>
      </c>
      <c r="C38" s="7">
        <f>ROUNDUP(MAX(0,ROUND(I38+J38-G38,10)),0)</f>
        <v>9118</v>
      </c>
      <c r="D38" s="8" t="n"/>
      <c r="E38" s="6" t="inlineStr">
        <is>
          <t>ندارد</t>
        </is>
      </c>
      <c r="F38" s="6" t="inlineStr">
        <is>
          <t>-</t>
        </is>
      </c>
      <c r="G38" s="5" t="n">
        <v>12162</v>
      </c>
      <c r="H38" s="8" t="n"/>
      <c r="I38" s="5">
        <f>SUMIF('جزئیات BOM'!$G$4:$G$607,A38,'جزئیات BOM'!$S$4:$S$607)</f>
        <v>11680</v>
      </c>
      <c r="J38" s="5">
        <f>SUMIF('جزئیات BOM'!$G$4:$G$607,A38,'جزئیات BOM'!$T$4:$T$607)</f>
        <v>9600</v>
      </c>
      <c r="K38" s="5">
        <f>ROUND(G38-I38,10)</f>
        <v>482</v>
      </c>
      <c r="L38" s="5">
        <f>ROUNDUP(MAX(0,ROUND(J38-G38,10)),0)</f>
        <v>0</v>
      </c>
      <c r="M38" s="5" t="n">
        <v>9118</v>
      </c>
      <c r="N38" s="6" t="inlineStr">
        <is>
          <t>ثبت عددی</t>
        </is>
      </c>
      <c r="O38" s="6" t="inlineStr">
        <is>
          <t>عدد</t>
        </is>
      </c>
      <c r="P38" s="6" t="inlineStr"/>
      <c r="Q38" s="9" t="n"/>
      <c r="R38" s="9" t="n"/>
    </row>
    <row r="39" ht="20" customHeight="1">
      <c r="A39" s="10" t="n">
        <v>1110851</v>
      </c>
      <c r="B39" s="11" t="inlineStr">
        <is>
          <t>LED Yellow-LY T68B-T2V1-26</t>
        </is>
      </c>
      <c r="C39" s="12">
        <f>ROUNDUP(MAX(0,ROUND(I39+J39-G39,10)),0)</f>
        <v>8898</v>
      </c>
      <c r="D39" s="8" t="n"/>
      <c r="E39" s="11" t="inlineStr">
        <is>
          <t>ندارد</t>
        </is>
      </c>
      <c r="F39" s="11" t="inlineStr">
        <is>
          <t>-</t>
        </is>
      </c>
      <c r="G39" s="10" t="n">
        <v>30482</v>
      </c>
      <c r="H39" s="8" t="n"/>
      <c r="I39" s="10">
        <f>SUMIF('جزئیات BOM'!$G$4:$G$607,A39,'جزئیات BOM'!$S$4:$S$607)</f>
        <v>26260</v>
      </c>
      <c r="J39" s="10">
        <f>SUMIF('جزئیات BOM'!$G$4:$G$607,A39,'جزئیات BOM'!$T$4:$T$607)</f>
        <v>13120</v>
      </c>
      <c r="K39" s="10">
        <f>ROUND(G39-I39,10)</f>
        <v>4222</v>
      </c>
      <c r="L39" s="10">
        <f>ROUNDUP(MAX(0,ROUND(J39-G39,10)),0)</f>
        <v>0</v>
      </c>
      <c r="M39" s="10" t="n">
        <v>8898</v>
      </c>
      <c r="N39" s="11" t="inlineStr">
        <is>
          <t>ثبت عددی</t>
        </is>
      </c>
      <c r="O39" s="11" t="inlineStr">
        <is>
          <t>عدد</t>
        </is>
      </c>
      <c r="P39" s="11" t="inlineStr"/>
      <c r="Q39" s="13" t="n"/>
      <c r="R39" s="13" t="n"/>
    </row>
    <row r="40" ht="20" customHeight="1">
      <c r="A40" s="5" t="n">
        <v>1110654</v>
      </c>
      <c r="B40" s="6" t="inlineStr">
        <is>
          <t>Transistor BC817-40W</t>
        </is>
      </c>
      <c r="C40" s="7">
        <f>ROUNDUP(MAX(0,ROUND(I40+J40-G40,10)),0)</f>
        <v>7789</v>
      </c>
      <c r="D40" s="8" t="n"/>
      <c r="E40" s="6" t="inlineStr">
        <is>
          <t>ندارد</t>
        </is>
      </c>
      <c r="F40" s="6" t="inlineStr">
        <is>
          <t>-</t>
        </is>
      </c>
      <c r="G40" s="5" t="n">
        <v>15111</v>
      </c>
      <c r="H40" s="8" t="n"/>
      <c r="I40" s="5">
        <f>SUMIF('جزئیات BOM'!$G$4:$G$607,A40,'جزئیات BOM'!$S$4:$S$607)</f>
        <v>13300</v>
      </c>
      <c r="J40" s="5">
        <f>SUMIF('جزئیات BOM'!$G$4:$G$607,A40,'جزئیات BOM'!$T$4:$T$607)</f>
        <v>9600</v>
      </c>
      <c r="K40" s="5">
        <f>ROUND(G40-I40,10)</f>
        <v>1811</v>
      </c>
      <c r="L40" s="5">
        <f>ROUNDUP(MAX(0,ROUND(J40-G40,10)),0)</f>
        <v>0</v>
      </c>
      <c r="M40" s="5" t="n">
        <v>7789</v>
      </c>
      <c r="N40" s="6" t="inlineStr">
        <is>
          <t>ثبت عددی</t>
        </is>
      </c>
      <c r="O40" s="6" t="inlineStr">
        <is>
          <t>عدد(شمارشی)</t>
        </is>
      </c>
      <c r="P40" s="6" t="inlineStr"/>
      <c r="Q40" s="9" t="n"/>
      <c r="R40" s="9" t="n"/>
    </row>
    <row r="41" ht="20" customHeight="1">
      <c r="A41" s="10" t="n">
        <v>1110655</v>
      </c>
      <c r="B41" s="11" t="inlineStr">
        <is>
          <t>Transistor BC807-40W</t>
        </is>
      </c>
      <c r="C41" s="12">
        <f>ROUNDUP(MAX(0,ROUND(I41+J41-G41,10)),0)</f>
        <v>7571</v>
      </c>
      <c r="D41" s="8" t="n"/>
      <c r="E41" s="11" t="inlineStr">
        <is>
          <t>ندارد</t>
        </is>
      </c>
      <c r="F41" s="11" t="inlineStr">
        <is>
          <t>-</t>
        </is>
      </c>
      <c r="G41" s="10" t="n">
        <v>13079</v>
      </c>
      <c r="H41" s="8" t="n"/>
      <c r="I41" s="10">
        <f>SUMIF('جزئیات BOM'!$G$4:$G$607,A41,'جزئیات BOM'!$S$4:$S$607)</f>
        <v>12250</v>
      </c>
      <c r="J41" s="10">
        <f>SUMIF('جزئیات BOM'!$G$4:$G$607,A41,'جزئیات BOM'!$T$4:$T$607)</f>
        <v>8400</v>
      </c>
      <c r="K41" s="10">
        <f>ROUND(G41-I41,10)</f>
        <v>829</v>
      </c>
      <c r="L41" s="10">
        <f>ROUNDUP(MAX(0,ROUND(J41-G41,10)),0)</f>
        <v>0</v>
      </c>
      <c r="M41" s="10" t="n">
        <v>7571</v>
      </c>
      <c r="N41" s="11" t="inlineStr">
        <is>
          <t>ثبت عددی</t>
        </is>
      </c>
      <c r="O41" s="11" t="inlineStr">
        <is>
          <t>عدد(شمارشی)</t>
        </is>
      </c>
      <c r="P41" s="11" t="inlineStr"/>
      <c r="Q41" s="13" t="n"/>
      <c r="R41" s="13" t="n"/>
    </row>
    <row r="42" ht="20" customHeight="1">
      <c r="A42" s="5" t="n">
        <v>1110630</v>
      </c>
      <c r="B42" s="6" t="inlineStr">
        <is>
          <t>ESD Protection</t>
        </is>
      </c>
      <c r="C42" s="7">
        <f>ROUNDUP(MAX(0,ROUND(I42+J42-G42,10)),0)</f>
        <v>7495</v>
      </c>
      <c r="D42" s="8" t="n"/>
      <c r="E42" s="6" t="inlineStr">
        <is>
          <t>ندارد</t>
        </is>
      </c>
      <c r="F42" s="6" t="inlineStr">
        <is>
          <t>-</t>
        </is>
      </c>
      <c r="G42" s="5" t="n">
        <v>11775</v>
      </c>
      <c r="H42" s="8" t="n"/>
      <c r="I42" s="5">
        <f>SUMIF('جزئیات BOM'!$G$4:$G$607,A42,'جزئیات BOM'!$S$4:$S$607)</f>
        <v>10910</v>
      </c>
      <c r="J42" s="5">
        <f>SUMIF('جزئیات BOM'!$G$4:$G$607,A42,'جزئیات BOM'!$T$4:$T$607)</f>
        <v>8360</v>
      </c>
      <c r="K42" s="5">
        <f>ROUND(G42-I42,10)</f>
        <v>865</v>
      </c>
      <c r="L42" s="5">
        <f>ROUNDUP(MAX(0,ROUND(J42-G42,10)),0)</f>
        <v>0</v>
      </c>
      <c r="M42" s="5" t="n">
        <v>7495</v>
      </c>
      <c r="N42" s="6" t="inlineStr">
        <is>
          <t>ثبت عددی</t>
        </is>
      </c>
      <c r="O42" s="6" t="inlineStr">
        <is>
          <t>عدد</t>
        </is>
      </c>
      <c r="P42" s="6" t="inlineStr"/>
      <c r="Q42" s="9" t="n"/>
      <c r="R42" s="9" t="n"/>
    </row>
    <row r="43" ht="20" customHeight="1">
      <c r="A43" s="10" t="n">
        <v>1110105</v>
      </c>
      <c r="B43" s="11" t="inlineStr">
        <is>
          <t>Electrolit Capacitor 100uF,16V,20% 105</t>
        </is>
      </c>
      <c r="C43" s="12">
        <f>ROUNDUP(MAX(0,ROUND(I43+J43-G43,10)),0)</f>
        <v>6930</v>
      </c>
      <c r="D43" s="8" t="n"/>
      <c r="E43" s="11" t="inlineStr">
        <is>
          <t>دارد</t>
        </is>
      </c>
      <c r="F43" s="11" t="inlineStr">
        <is>
          <t>2</t>
        </is>
      </c>
      <c r="G43" s="10" t="n">
        <v>9580</v>
      </c>
      <c r="H43" s="8" t="n"/>
      <c r="I43" s="10">
        <f>SUMIF('جزئیات BOM'!$G$4:$G$607,A43,'جزئیات BOM'!$S$4:$S$607)</f>
        <v>8350</v>
      </c>
      <c r="J43" s="10">
        <f>SUMIF('جزئیات BOM'!$G$4:$G$607,A43,'جزئیات BOM'!$T$4:$T$607)</f>
        <v>8160</v>
      </c>
      <c r="K43" s="10">
        <f>ROUND(G43-I43,10)</f>
        <v>1230</v>
      </c>
      <c r="L43" s="10">
        <f>ROUNDUP(MAX(0,ROUND(J43-G43,10)),0)</f>
        <v>0</v>
      </c>
      <c r="M43" s="10" t="n">
        <v>5630</v>
      </c>
      <c r="N43" s="11" t="inlineStr">
        <is>
          <t>ثبت عددی</t>
        </is>
      </c>
      <c r="O43" s="11" t="inlineStr">
        <is>
          <t>عدد</t>
        </is>
      </c>
      <c r="P43" s="11" t="inlineStr">
        <is>
          <t>سهم جایگزین طبق BOM؛ نیازمند تأیید</t>
        </is>
      </c>
      <c r="Q43" s="13" t="n"/>
      <c r="R43" s="13" t="n"/>
    </row>
    <row r="44" ht="20" customHeight="1">
      <c r="A44" s="5" t="n">
        <v>1110544</v>
      </c>
      <c r="B44" s="6" t="inlineStr">
        <is>
          <t>Capacitor 27pF, 50V , 5% , C0G</t>
        </is>
      </c>
      <c r="C44" s="7">
        <f>ROUNDUP(MAX(0,ROUND(I44+J44-G44,10)),0)</f>
        <v>6790</v>
      </c>
      <c r="D44" s="8" t="n"/>
      <c r="E44" s="6" t="inlineStr">
        <is>
          <t>ندارد</t>
        </is>
      </c>
      <c r="F44" s="6" t="inlineStr">
        <is>
          <t>-</t>
        </is>
      </c>
      <c r="G44" s="5" t="n">
        <v>2910</v>
      </c>
      <c r="H44" s="8" t="n"/>
      <c r="I44" s="5">
        <f>SUMIF('جزئیات BOM'!$G$4:$G$607,A44,'جزئیات BOM'!$S$4:$S$607)</f>
        <v>4900</v>
      </c>
      <c r="J44" s="5">
        <f>SUMIF('جزئیات BOM'!$G$4:$G$607,A44,'جزئیات BOM'!$T$4:$T$607)</f>
        <v>4800</v>
      </c>
      <c r="K44" s="5">
        <f>ROUND(G44-I44,10)</f>
        <v>-1990</v>
      </c>
      <c r="L44" s="5">
        <f>ROUNDUP(MAX(0,ROUND(J44-G44,10)),0)</f>
        <v>1890</v>
      </c>
      <c r="M44" s="5" t="n">
        <v>6790</v>
      </c>
      <c r="N44" s="6" t="inlineStr">
        <is>
          <t>ثبت عددی</t>
        </is>
      </c>
      <c r="O44" s="6" t="inlineStr">
        <is>
          <t>عدد</t>
        </is>
      </c>
      <c r="P44" s="6" t="inlineStr"/>
      <c r="Q44" s="9" t="n"/>
      <c r="R44" s="9" t="n"/>
    </row>
    <row r="45" ht="20" customHeight="1">
      <c r="A45" s="10" t="n">
        <v>1110847</v>
      </c>
      <c r="B45" s="11" t="inlineStr">
        <is>
          <t>LED, White AT-PLCC2-W1</t>
        </is>
      </c>
      <c r="C45" s="12">
        <f>ROUNDUP(MAX(0,ROUND(I45+J45-G45,10)),0)</f>
        <v>6595</v>
      </c>
      <c r="D45" s="8" t="n"/>
      <c r="E45" s="11" t="inlineStr">
        <is>
          <t>دارد</t>
        </is>
      </c>
      <c r="F45" s="11" t="inlineStr">
        <is>
          <t>2</t>
        </is>
      </c>
      <c r="G45" s="10" t="n">
        <v>0</v>
      </c>
      <c r="H45" s="8" t="n"/>
      <c r="I45" s="10">
        <f>SUMIF('جزئیات BOM'!$G$4:$G$607,A45,'جزئیات BOM'!$S$4:$S$607)</f>
        <v>3515</v>
      </c>
      <c r="J45" s="10">
        <f>SUMIF('جزئیات BOM'!$G$4:$G$607,A45,'جزئیات BOM'!$T$4:$T$607)</f>
        <v>3080</v>
      </c>
      <c r="K45" s="10">
        <f>ROUND(G45-I45,10)</f>
        <v>-3515</v>
      </c>
      <c r="L45" s="10">
        <f>ROUNDUP(MAX(0,ROUND(J45-G45,10)),0)</f>
        <v>3080</v>
      </c>
      <c r="M45" s="10" t="n">
        <v>0</v>
      </c>
      <c r="N45" s="14" t="inlineStr">
        <is>
          <t>خالی در فایل؛ فرض صفر</t>
        </is>
      </c>
      <c r="O45" s="11" t="inlineStr">
        <is>
          <t>عدد</t>
        </is>
      </c>
      <c r="P45" s="11" t="inlineStr">
        <is>
          <t>سهم جایگزین طبق BOM؛ نیازمند تأیید | موجودی نامشخص؛ صفر فرض شده</t>
        </is>
      </c>
      <c r="Q45" s="13" t="n"/>
      <c r="R45" s="13" t="n"/>
    </row>
    <row r="46" ht="20" customHeight="1">
      <c r="A46" s="5" t="n">
        <v>1110848</v>
      </c>
      <c r="B46" s="6" t="inlineStr">
        <is>
          <t>LED, White UE-PT440NW0-10T</t>
        </is>
      </c>
      <c r="C46" s="7">
        <f>ROUNDUP(MAX(0,ROUND(I46+J46-G46,10)),0)</f>
        <v>6595</v>
      </c>
      <c r="D46" s="8" t="n"/>
      <c r="E46" s="6" t="inlineStr">
        <is>
          <t>دارد</t>
        </is>
      </c>
      <c r="F46" s="6" t="inlineStr">
        <is>
          <t>3</t>
        </is>
      </c>
      <c r="G46" s="5" t="n">
        <v>0</v>
      </c>
      <c r="H46" s="8" t="n"/>
      <c r="I46" s="5">
        <f>SUMIF('جزئیات BOM'!$G$4:$G$607,A46,'جزئیات BOM'!$S$4:$S$607)</f>
        <v>3515</v>
      </c>
      <c r="J46" s="5">
        <f>SUMIF('جزئیات BOM'!$G$4:$G$607,A46,'جزئیات BOM'!$T$4:$T$607)</f>
        <v>3080</v>
      </c>
      <c r="K46" s="5">
        <f>ROUND(G46-I46,10)</f>
        <v>-3515</v>
      </c>
      <c r="L46" s="5">
        <f>ROUNDUP(MAX(0,ROUND(J46-G46,10)),0)</f>
        <v>3080</v>
      </c>
      <c r="M46" s="5" t="n">
        <v>0</v>
      </c>
      <c r="N46" s="14" t="inlineStr">
        <is>
          <t>خالی در فایل؛ فرض صفر</t>
        </is>
      </c>
      <c r="O46" s="6" t="inlineStr">
        <is>
          <t>عدد</t>
        </is>
      </c>
      <c r="P46" s="6" t="inlineStr">
        <is>
          <t>سهم جایگزین طبق BOM؛ نیازمند تأیید | موجودی نامشخص؛ صفر فرض شده</t>
        </is>
      </c>
      <c r="Q46" s="9" t="n"/>
      <c r="R46" s="9" t="n"/>
    </row>
    <row r="47" ht="20" customHeight="1">
      <c r="A47" s="10" t="n">
        <v>1110877</v>
      </c>
      <c r="B47" s="11" t="inlineStr">
        <is>
          <t>LED, White FYLS-3528UWC-Z</t>
        </is>
      </c>
      <c r="C47" s="12">
        <f>ROUNDUP(MAX(0,ROUND(I47+J47-G47,10)),0)</f>
        <v>6595</v>
      </c>
      <c r="D47" s="8" t="n"/>
      <c r="E47" s="11" t="inlineStr">
        <is>
          <t>دارد</t>
        </is>
      </c>
      <c r="F47" s="11" t="inlineStr">
        <is>
          <t>4</t>
        </is>
      </c>
      <c r="G47" s="10" t="n">
        <v>0</v>
      </c>
      <c r="H47" s="8" t="n"/>
      <c r="I47" s="10">
        <f>SUMIF('جزئیات BOM'!$G$4:$G$607,A47,'جزئیات BOM'!$S$4:$S$607)</f>
        <v>3515</v>
      </c>
      <c r="J47" s="10">
        <f>SUMIF('جزئیات BOM'!$G$4:$G$607,A47,'جزئیات BOM'!$T$4:$T$607)</f>
        <v>3080</v>
      </c>
      <c r="K47" s="10">
        <f>ROUND(G47-I47,10)</f>
        <v>-3515</v>
      </c>
      <c r="L47" s="10">
        <f>ROUNDUP(MAX(0,ROUND(J47-G47,10)),0)</f>
        <v>3080</v>
      </c>
      <c r="M47" s="10" t="n">
        <v>0</v>
      </c>
      <c r="N47" s="14" t="inlineStr">
        <is>
          <t>خالی در فایل؛ فرض صفر</t>
        </is>
      </c>
      <c r="O47" s="11" t="inlineStr">
        <is>
          <t>عدد</t>
        </is>
      </c>
      <c r="P47" s="11" t="inlineStr">
        <is>
          <t>سهم جایگزین طبق BOM؛ نیازمند تأیید | موجودی نامشخص؛ صفر فرض شده</t>
        </is>
      </c>
      <c r="Q47" s="13" t="n"/>
      <c r="R47" s="13" t="n"/>
    </row>
    <row r="48" ht="20" customHeight="1">
      <c r="A48" s="5" t="n">
        <v>1110567</v>
      </c>
      <c r="B48" s="6" t="inlineStr">
        <is>
          <t>Capacitor 27pF, 25V , 5% , X8R</t>
        </is>
      </c>
      <c r="C48" s="7">
        <f>ROUNDUP(MAX(0,ROUND(I48+J48-G48,10)),0)</f>
        <v>6530</v>
      </c>
      <c r="D48" s="8" t="n"/>
      <c r="E48" s="6" t="inlineStr">
        <is>
          <t>ندارد</t>
        </is>
      </c>
      <c r="F48" s="6" t="inlineStr">
        <is>
          <t>-</t>
        </is>
      </c>
      <c r="G48" s="5" t="n">
        <v>3170</v>
      </c>
      <c r="H48" s="8" t="n"/>
      <c r="I48" s="5">
        <f>SUMIF('جزئیات BOM'!$G$4:$G$607,A48,'جزئیات BOM'!$S$4:$S$607)</f>
        <v>4900</v>
      </c>
      <c r="J48" s="5">
        <f>SUMIF('جزئیات BOM'!$G$4:$G$607,A48,'جزئیات BOM'!$T$4:$T$607)</f>
        <v>4800</v>
      </c>
      <c r="K48" s="5">
        <f>ROUND(G48-I48,10)</f>
        <v>-1730</v>
      </c>
      <c r="L48" s="5">
        <f>ROUNDUP(MAX(0,ROUND(J48-G48,10)),0)</f>
        <v>1630</v>
      </c>
      <c r="M48" s="5" t="n">
        <v>6530</v>
      </c>
      <c r="N48" s="6" t="inlineStr">
        <is>
          <t>ثبت عددی</t>
        </is>
      </c>
      <c r="O48" s="6" t="inlineStr">
        <is>
          <t>عدد(شمارشی)</t>
        </is>
      </c>
      <c r="P48" s="6" t="inlineStr"/>
      <c r="Q48" s="9" t="n"/>
      <c r="R48" s="9" t="n"/>
    </row>
    <row r="49" ht="20" customHeight="1">
      <c r="A49" s="10" t="n">
        <v>1110334</v>
      </c>
      <c r="B49" s="11" t="inlineStr">
        <is>
          <t>Resistor 100K,5%,1/8W</t>
        </is>
      </c>
      <c r="C49" s="12">
        <f>ROUNDUP(MAX(0,ROUND(I49+J49-G49,10)),0)</f>
        <v>6386</v>
      </c>
      <c r="D49" s="8" t="n"/>
      <c r="E49" s="11" t="inlineStr">
        <is>
          <t>ندارد</t>
        </is>
      </c>
      <c r="F49" s="11" t="inlineStr">
        <is>
          <t>-</t>
        </is>
      </c>
      <c r="G49" s="10" t="n">
        <v>8164</v>
      </c>
      <c r="H49" s="8" t="n"/>
      <c r="I49" s="10">
        <f>SUMIF('جزئیات BOM'!$G$4:$G$607,A49,'جزئیات BOM'!$S$4:$S$607)</f>
        <v>7350</v>
      </c>
      <c r="J49" s="10">
        <f>SUMIF('جزئیات BOM'!$G$4:$G$607,A49,'جزئیات BOM'!$T$4:$T$607)</f>
        <v>7200</v>
      </c>
      <c r="K49" s="10">
        <f>ROUND(G49-I49,10)</f>
        <v>814</v>
      </c>
      <c r="L49" s="10">
        <f>ROUNDUP(MAX(0,ROUND(J49-G49,10)),0)</f>
        <v>0</v>
      </c>
      <c r="M49" s="10" t="n">
        <v>6386</v>
      </c>
      <c r="N49" s="11" t="inlineStr">
        <is>
          <t>ثبت عددی</t>
        </is>
      </c>
      <c r="O49" s="11" t="inlineStr">
        <is>
          <t>عدد</t>
        </is>
      </c>
      <c r="P49" s="11" t="inlineStr"/>
      <c r="Q49" s="13" t="n"/>
      <c r="R49" s="13" t="n"/>
    </row>
    <row r="50" ht="20" customHeight="1">
      <c r="A50" s="5" t="n">
        <v>1110053</v>
      </c>
      <c r="B50" s="6" t="inlineStr">
        <is>
          <t>Capacitor 100N,100V,X7R,10%</t>
        </is>
      </c>
      <c r="C50" s="7">
        <f>ROUNDUP(MAX(0,ROUND(I50+J50-G50,10)),0)</f>
        <v>6206</v>
      </c>
      <c r="D50" s="8" t="n"/>
      <c r="E50" s="6" t="inlineStr">
        <is>
          <t>دارد</t>
        </is>
      </c>
      <c r="F50" s="6" t="inlineStr">
        <is>
          <t>2</t>
        </is>
      </c>
      <c r="G50" s="5" t="n">
        <v>7094</v>
      </c>
      <c r="H50" s="8" t="n"/>
      <c r="I50" s="5">
        <f>SUMIF('جزئیات BOM'!$G$4:$G$607,A50,'جزئیات BOM'!$S$4:$S$607)</f>
        <v>9300</v>
      </c>
      <c r="J50" s="5">
        <f>SUMIF('جزئیات BOM'!$G$4:$G$607,A50,'جزئیات BOM'!$T$4:$T$607)</f>
        <v>4000</v>
      </c>
      <c r="K50" s="5">
        <f>ROUND(G50-I50,10)</f>
        <v>-2206</v>
      </c>
      <c r="L50" s="5">
        <f>ROUNDUP(MAX(0,ROUND(J50-G50,10)),0)</f>
        <v>0</v>
      </c>
      <c r="M50" s="5" t="n">
        <v>0</v>
      </c>
      <c r="N50" s="6" t="inlineStr">
        <is>
          <t>ثبت عددی</t>
        </is>
      </c>
      <c r="O50" s="6" t="inlineStr">
        <is>
          <t>عدد</t>
        </is>
      </c>
      <c r="P50" s="6" t="inlineStr">
        <is>
          <t>سهم جایگزین طبق BOM؛ نیازمند تأیید</t>
        </is>
      </c>
      <c r="Q50" s="9" t="n"/>
      <c r="R50" s="9" t="n"/>
    </row>
    <row r="51" ht="20" customHeight="1">
      <c r="A51" s="10" t="n">
        <v>1110401</v>
      </c>
      <c r="B51" s="11" t="inlineStr">
        <is>
          <t>IC ULQ2003D1013TRY</t>
        </is>
      </c>
      <c r="C51" s="12">
        <f>ROUNDUP(MAX(0,ROUND(I51+J51-G51,10)),0)</f>
        <v>6183</v>
      </c>
      <c r="D51" s="8" t="n"/>
      <c r="E51" s="11" t="inlineStr">
        <is>
          <t>ندارد</t>
        </is>
      </c>
      <c r="F51" s="11" t="inlineStr">
        <is>
          <t>-</t>
        </is>
      </c>
      <c r="G51" s="10" t="n">
        <v>13097</v>
      </c>
      <c r="H51" s="8" t="n"/>
      <c r="I51" s="10">
        <f>SUMIF('جزئیات BOM'!$G$4:$G$607,A51,'جزئیات BOM'!$S$4:$S$607)</f>
        <v>12240</v>
      </c>
      <c r="J51" s="10">
        <f>SUMIF('جزئیات BOM'!$G$4:$G$607,A51,'جزئیات BOM'!$T$4:$T$607)</f>
        <v>7040</v>
      </c>
      <c r="K51" s="10">
        <f>ROUND(G51-I51,10)</f>
        <v>857</v>
      </c>
      <c r="L51" s="10">
        <f>ROUNDUP(MAX(0,ROUND(J51-G51,10)),0)</f>
        <v>0</v>
      </c>
      <c r="M51" s="10" t="n">
        <v>6183</v>
      </c>
      <c r="N51" s="11" t="inlineStr">
        <is>
          <t>ثبت عددی</t>
        </is>
      </c>
      <c r="O51" s="11" t="inlineStr">
        <is>
          <t>عدد</t>
        </is>
      </c>
      <c r="P51" s="11" t="inlineStr"/>
      <c r="Q51" s="13" t="n"/>
      <c r="R51" s="13" t="n"/>
    </row>
    <row r="52" ht="20" customHeight="1">
      <c r="A52" s="5" t="n">
        <v>1110765</v>
      </c>
      <c r="B52" s="6" t="inlineStr">
        <is>
          <t>Resistor 8.2k, 1%, 1/4w</t>
        </is>
      </c>
      <c r="C52" s="7">
        <f>ROUNDUP(MAX(0,ROUND(I52+J52-G52,10)),0)</f>
        <v>6000</v>
      </c>
      <c r="D52" s="8" t="n"/>
      <c r="E52" s="6" t="inlineStr">
        <is>
          <t>دارد</t>
        </is>
      </c>
      <c r="F52" s="6" t="inlineStr">
        <is>
          <t>2</t>
        </is>
      </c>
      <c r="G52" s="5" t="n">
        <v>0</v>
      </c>
      <c r="H52" s="8" t="n"/>
      <c r="I52" s="5">
        <f>SUMIF('جزئیات BOM'!$G$4:$G$607,A52,'جزئیات BOM'!$S$4:$S$607)</f>
        <v>4500</v>
      </c>
      <c r="J52" s="5">
        <f>SUMIF('جزئیات BOM'!$G$4:$G$607,A52,'جزئیات BOM'!$T$4:$T$607)</f>
        <v>1500</v>
      </c>
      <c r="K52" s="5">
        <f>ROUND(G52-I52,10)</f>
        <v>-4500</v>
      </c>
      <c r="L52" s="5">
        <f>ROUNDUP(MAX(0,ROUND(J52-G52,10)),0)</f>
        <v>1500</v>
      </c>
      <c r="M52" s="5" t="n">
        <v>0</v>
      </c>
      <c r="N52" s="14" t="inlineStr">
        <is>
          <t>خالی در فایل؛ فرض صفر</t>
        </is>
      </c>
      <c r="O52" s="6" t="inlineStr">
        <is>
          <t>عدد</t>
        </is>
      </c>
      <c r="P52" s="6" t="inlineStr">
        <is>
          <t>سهم جایگزین طبق BOM؛ نیازمند تأیید | ۱۰۰٪ تکراری: اولویت اول | موجودی نامشخص؛ صفر فرض شده</t>
        </is>
      </c>
      <c r="Q52" s="9" t="n"/>
      <c r="R52" s="9" t="n"/>
    </row>
    <row r="53" ht="20" customHeight="1">
      <c r="A53" s="10" t="n">
        <v>1110310</v>
      </c>
      <c r="B53" s="11" t="inlineStr">
        <is>
          <t>Resistor 10K,1%,1/8W</t>
        </is>
      </c>
      <c r="C53" s="12">
        <f>ROUNDUP(MAX(0,ROUND(I53+J53-G53,10)),0)</f>
        <v>5960</v>
      </c>
      <c r="D53" s="8" t="n"/>
      <c r="E53" s="11" t="inlineStr">
        <is>
          <t>دارد</t>
        </is>
      </c>
      <c r="F53" s="11" t="inlineStr">
        <is>
          <t>2</t>
        </is>
      </c>
      <c r="G53" s="10" t="n">
        <v>40</v>
      </c>
      <c r="H53" s="8" t="n"/>
      <c r="I53" s="10">
        <f>SUMIF('جزئیات BOM'!$G$4:$G$607,A53,'جزئیات BOM'!$S$4:$S$607)</f>
        <v>6000</v>
      </c>
      <c r="J53" s="10">
        <f>SUMIF('جزئیات BOM'!$G$4:$G$607,A53,'جزئیات BOM'!$T$4:$T$607)</f>
        <v>0</v>
      </c>
      <c r="K53" s="10">
        <f>ROUND(G53-I53,10)</f>
        <v>-5960</v>
      </c>
      <c r="L53" s="10">
        <f>ROUNDUP(MAX(0,ROUND(J53-G53,10)),0)</f>
        <v>0</v>
      </c>
      <c r="M53" s="10" t="n">
        <v>0</v>
      </c>
      <c r="N53" s="11" t="inlineStr">
        <is>
          <t>ثبت عددی</t>
        </is>
      </c>
      <c r="O53" s="11" t="inlineStr">
        <is>
          <t>عدد</t>
        </is>
      </c>
      <c r="P53" s="11" t="inlineStr">
        <is>
          <t>سهم جایگزین طبق BOM؛ نیازمند تأیید</t>
        </is>
      </c>
      <c r="Q53" s="13" t="n"/>
      <c r="R53" s="13" t="n"/>
    </row>
    <row r="54" ht="20" customHeight="1">
      <c r="A54" s="5" t="n">
        <v>1110634</v>
      </c>
      <c r="B54" s="6" t="inlineStr">
        <is>
          <t>transistor BC817-25</t>
        </is>
      </c>
      <c r="C54" s="7">
        <f>ROUNDUP(MAX(0,ROUND(I54+J54-G54,10)),0)</f>
        <v>5912</v>
      </c>
      <c r="D54" s="8" t="n"/>
      <c r="E54" s="6" t="inlineStr">
        <is>
          <t>ندارد</t>
        </is>
      </c>
      <c r="F54" s="6" t="inlineStr">
        <is>
          <t>-</t>
        </is>
      </c>
      <c r="G54" s="5" t="n">
        <v>3788</v>
      </c>
      <c r="H54" s="8" t="n"/>
      <c r="I54" s="5">
        <f>SUMIF('جزئیات BOM'!$G$4:$G$607,A54,'جزئیات BOM'!$S$4:$S$607)</f>
        <v>4900</v>
      </c>
      <c r="J54" s="5">
        <f>SUMIF('جزئیات BOM'!$G$4:$G$607,A54,'جزئیات BOM'!$T$4:$T$607)</f>
        <v>4800</v>
      </c>
      <c r="K54" s="5">
        <f>ROUND(G54-I54,10)</f>
        <v>-1112</v>
      </c>
      <c r="L54" s="5">
        <f>ROUNDUP(MAX(0,ROUND(J54-G54,10)),0)</f>
        <v>1012</v>
      </c>
      <c r="M54" s="5" t="n">
        <v>5912</v>
      </c>
      <c r="N54" s="6" t="inlineStr">
        <is>
          <t>ثبت عددی</t>
        </is>
      </c>
      <c r="O54" s="6" t="inlineStr">
        <is>
          <t>عدد(شمارشی)</t>
        </is>
      </c>
      <c r="P54" s="6" t="inlineStr"/>
      <c r="Q54" s="9" t="n"/>
      <c r="R54" s="9" t="n"/>
    </row>
    <row r="55" ht="20" customHeight="1">
      <c r="A55" s="10" t="n">
        <v>1110377</v>
      </c>
      <c r="B55" s="11" t="inlineStr">
        <is>
          <t>Resistor 1.5K, 1%, 1/10W</t>
        </is>
      </c>
      <c r="C55" s="12">
        <f>ROUNDUP(MAX(0,ROUND(I55+J55-G55,10)),0)</f>
        <v>5730</v>
      </c>
      <c r="D55" s="8" t="n"/>
      <c r="E55" s="11" t="inlineStr">
        <is>
          <t>دارد</t>
        </is>
      </c>
      <c r="F55" s="11" t="inlineStr">
        <is>
          <t>2</t>
        </is>
      </c>
      <c r="G55" s="10" t="n">
        <v>0</v>
      </c>
      <c r="H55" s="8" t="n"/>
      <c r="I55" s="10">
        <f>SUMIF('جزئیات BOM'!$G$4:$G$607,A55,'جزئیات BOM'!$S$4:$S$607)</f>
        <v>3810</v>
      </c>
      <c r="J55" s="10">
        <f>SUMIF('جزئیات BOM'!$G$4:$G$607,A55,'جزئیات BOM'!$T$4:$T$607)</f>
        <v>1920</v>
      </c>
      <c r="K55" s="10">
        <f>ROUND(G55-I55,10)</f>
        <v>-3810</v>
      </c>
      <c r="L55" s="10">
        <f>ROUNDUP(MAX(0,ROUND(J55-G55,10)),0)</f>
        <v>1920</v>
      </c>
      <c r="M55" s="10" t="n">
        <v>0</v>
      </c>
      <c r="N55" s="14" t="inlineStr">
        <is>
          <t>خالی در فایل؛ فرض صفر</t>
        </is>
      </c>
      <c r="O55" s="11" t="inlineStr">
        <is>
          <t>عدد</t>
        </is>
      </c>
      <c r="P55" s="11" t="inlineStr">
        <is>
          <t>سهم جایگزین طبق BOM؛ نیازمند تأیید | موجودی نامشخص؛ صفر فرض شده</t>
        </is>
      </c>
      <c r="Q55" s="13" t="n"/>
      <c r="R55" s="13" t="n"/>
    </row>
    <row r="56" ht="20" customHeight="1">
      <c r="A56" s="5" t="n">
        <v>1110600</v>
      </c>
      <c r="B56" s="6" t="inlineStr">
        <is>
          <t>Transistor BC817-40</t>
        </is>
      </c>
      <c r="C56" s="7">
        <f>ROUNDUP(MAX(0,ROUND(I56+J56-G56,10)),0)</f>
        <v>5642</v>
      </c>
      <c r="D56" s="8" t="n"/>
      <c r="E56" s="6" t="inlineStr">
        <is>
          <t>ندارد</t>
        </is>
      </c>
      <c r="F56" s="6" t="inlineStr">
        <is>
          <t>-</t>
        </is>
      </c>
      <c r="G56" s="5" t="n">
        <v>18378</v>
      </c>
      <c r="H56" s="8" t="n"/>
      <c r="I56" s="5">
        <f>SUMIF('جزئیات BOM'!$G$4:$G$607,A56,'جزئیات BOM'!$S$4:$S$607)</f>
        <v>14140</v>
      </c>
      <c r="J56" s="5">
        <f>SUMIF('جزئیات BOM'!$G$4:$G$607,A56,'جزئیات BOM'!$T$4:$T$607)</f>
        <v>9880</v>
      </c>
      <c r="K56" s="5">
        <f>ROUND(G56-I56,10)</f>
        <v>4238</v>
      </c>
      <c r="L56" s="5">
        <f>ROUNDUP(MAX(0,ROUND(J56-G56,10)),0)</f>
        <v>0</v>
      </c>
      <c r="M56" s="5" t="n">
        <v>5642</v>
      </c>
      <c r="N56" s="6" t="inlineStr">
        <is>
          <t>ثبت عددی</t>
        </is>
      </c>
      <c r="O56" s="6" t="inlineStr">
        <is>
          <t>عدد</t>
        </is>
      </c>
      <c r="P56" s="6" t="inlineStr"/>
      <c r="Q56" s="9" t="n"/>
      <c r="R56" s="9" t="n"/>
    </row>
    <row r="57" ht="20" customHeight="1">
      <c r="A57" s="10" t="n">
        <v>1110556</v>
      </c>
      <c r="B57" s="11" t="inlineStr">
        <is>
          <t>Capacitor Tantalium 10uF/16V,10%, -55°C to 125 °C</t>
        </is>
      </c>
      <c r="C57" s="12">
        <f>ROUNDUP(MAX(0,ROUND(I57+J57-G57,10)),0)</f>
        <v>5621</v>
      </c>
      <c r="D57" s="8" t="n"/>
      <c r="E57" s="11" t="inlineStr">
        <is>
          <t>ندارد</t>
        </is>
      </c>
      <c r="F57" s="11" t="inlineStr">
        <is>
          <t>-</t>
        </is>
      </c>
      <c r="G57" s="10" t="n">
        <v>4079</v>
      </c>
      <c r="H57" s="8" t="n"/>
      <c r="I57" s="10">
        <f>SUMIF('جزئیات BOM'!$G$4:$G$607,A57,'جزئیات BOM'!$S$4:$S$607)</f>
        <v>4900</v>
      </c>
      <c r="J57" s="10">
        <f>SUMIF('جزئیات BOM'!$G$4:$G$607,A57,'جزئیات BOM'!$T$4:$T$607)</f>
        <v>4800</v>
      </c>
      <c r="K57" s="10">
        <f>ROUND(G57-I57,10)</f>
        <v>-821</v>
      </c>
      <c r="L57" s="10">
        <f>ROUNDUP(MAX(0,ROUND(J57-G57,10)),0)</f>
        <v>721</v>
      </c>
      <c r="M57" s="10" t="n">
        <v>5621</v>
      </c>
      <c r="N57" s="11" t="inlineStr">
        <is>
          <t>ثبت عددی</t>
        </is>
      </c>
      <c r="O57" s="11" t="inlineStr">
        <is>
          <t>عدد</t>
        </is>
      </c>
      <c r="P57" s="11" t="inlineStr"/>
      <c r="Q57" s="13" t="n"/>
      <c r="R57" s="13" t="n"/>
    </row>
    <row r="58" ht="20" customHeight="1">
      <c r="A58" s="5" t="n">
        <v>1110109</v>
      </c>
      <c r="B58" s="6" t="inlineStr">
        <is>
          <t>Capacitor 68pF , 5%,50V , X7R</t>
        </is>
      </c>
      <c r="C58" s="7">
        <f>ROUNDUP(MAX(0,ROUND(I58+J58-G58,10)),0)</f>
        <v>5610</v>
      </c>
      <c r="D58" s="8" t="n"/>
      <c r="E58" s="6" t="inlineStr">
        <is>
          <t>ندارد</t>
        </is>
      </c>
      <c r="F58" s="6" t="inlineStr">
        <is>
          <t>-</t>
        </is>
      </c>
      <c r="G58" s="5" t="n">
        <v>35470</v>
      </c>
      <c r="H58" s="8" t="n"/>
      <c r="I58" s="5">
        <f>SUMIF('جزئیات BOM'!$G$4:$G$607,A58,'جزئیات BOM'!$S$4:$S$607)</f>
        <v>23160</v>
      </c>
      <c r="J58" s="5">
        <f>SUMIF('جزئیات BOM'!$G$4:$G$607,A58,'جزئیات BOM'!$T$4:$T$607)</f>
        <v>17920</v>
      </c>
      <c r="K58" s="5">
        <f>ROUND(G58-I58,10)</f>
        <v>12310</v>
      </c>
      <c r="L58" s="5">
        <f>ROUNDUP(MAX(0,ROUND(J58-G58,10)),0)</f>
        <v>0</v>
      </c>
      <c r="M58" s="5" t="n">
        <v>5610</v>
      </c>
      <c r="N58" s="6" t="inlineStr">
        <is>
          <t>ثبت عددی</t>
        </is>
      </c>
      <c r="O58" s="6" t="inlineStr">
        <is>
          <t>عدد</t>
        </is>
      </c>
      <c r="P58" s="6" t="inlineStr"/>
      <c r="Q58" s="9" t="n"/>
      <c r="R58" s="9" t="n"/>
    </row>
    <row r="59" ht="20" customHeight="1">
      <c r="A59" s="10" t="n">
        <v>1110364</v>
      </c>
      <c r="B59" s="11" t="inlineStr">
        <is>
          <t>Resistor 1.8K,5%,1/4W</t>
        </is>
      </c>
      <c r="C59" s="12">
        <f>ROUNDUP(MAX(0,ROUND(I59+J59-G59,10)),0)</f>
        <v>5576</v>
      </c>
      <c r="D59" s="8" t="n"/>
      <c r="E59" s="11" t="inlineStr">
        <is>
          <t>ندارد</t>
        </is>
      </c>
      <c r="F59" s="11" t="inlineStr">
        <is>
          <t>-</t>
        </is>
      </c>
      <c r="G59" s="10" t="n">
        <v>41074</v>
      </c>
      <c r="H59" s="8" t="n"/>
      <c r="I59" s="10">
        <f>SUMIF('جزئیات BOM'!$G$4:$G$607,A59,'جزئیات BOM'!$S$4:$S$607)</f>
        <v>26250</v>
      </c>
      <c r="J59" s="10">
        <f>SUMIF('جزئیات BOM'!$G$4:$G$607,A59,'جزئیات BOM'!$T$4:$T$607)</f>
        <v>20400</v>
      </c>
      <c r="K59" s="10">
        <f>ROUND(G59-I59,10)</f>
        <v>14824</v>
      </c>
      <c r="L59" s="10">
        <f>ROUNDUP(MAX(0,ROUND(J59-G59,10)),0)</f>
        <v>0</v>
      </c>
      <c r="M59" s="10" t="n">
        <v>5576</v>
      </c>
      <c r="N59" s="11" t="inlineStr">
        <is>
          <t>ثبت عددی</t>
        </is>
      </c>
      <c r="O59" s="11" t="inlineStr">
        <is>
          <t>عدد</t>
        </is>
      </c>
      <c r="P59" s="11" t="inlineStr"/>
      <c r="Q59" s="13" t="n"/>
      <c r="R59" s="13" t="n"/>
    </row>
    <row r="60" ht="20" customHeight="1">
      <c r="A60" s="5" t="n">
        <v>1110875</v>
      </c>
      <c r="B60" s="6" t="inlineStr">
        <is>
          <t>LED, True Green LT T673-P1Q2-25-Z</t>
        </is>
      </c>
      <c r="C60" s="7">
        <f>ROUNDUP(MAX(0,ROUND(I60+J60-G60,10)),0)</f>
        <v>5235</v>
      </c>
      <c r="D60" s="8" t="n"/>
      <c r="E60" s="6" t="inlineStr">
        <is>
          <t>دارد</t>
        </is>
      </c>
      <c r="F60" s="6" t="inlineStr">
        <is>
          <t>2</t>
        </is>
      </c>
      <c r="G60" s="5" t="n">
        <v>0</v>
      </c>
      <c r="H60" s="8" t="n"/>
      <c r="I60" s="5">
        <f>SUMIF('جزئیات BOM'!$G$4:$G$607,A60,'جزئیات BOM'!$S$4:$S$607)</f>
        <v>3495</v>
      </c>
      <c r="J60" s="5">
        <f>SUMIF('جزئیات BOM'!$G$4:$G$607,A60,'جزئیات BOM'!$T$4:$T$607)</f>
        <v>1740</v>
      </c>
      <c r="K60" s="5">
        <f>ROUND(G60-I60,10)</f>
        <v>-3495</v>
      </c>
      <c r="L60" s="5">
        <f>ROUNDUP(MAX(0,ROUND(J60-G60,10)),0)</f>
        <v>1740</v>
      </c>
      <c r="M60" s="5" t="n">
        <v>0</v>
      </c>
      <c r="N60" s="14" t="inlineStr">
        <is>
          <t>خالی در فایل؛ فرض صفر</t>
        </is>
      </c>
      <c r="O60" s="6" t="inlineStr">
        <is>
          <t>عدد</t>
        </is>
      </c>
      <c r="P60" s="6" t="inlineStr">
        <is>
          <t>سهم جایگزین طبق BOM؛ نیازمند تأیید | موجودی نامشخص؛ صفر فرض شده</t>
        </is>
      </c>
      <c r="Q60" s="9" t="n"/>
      <c r="R60" s="9" t="n"/>
    </row>
    <row r="61" ht="20" customHeight="1">
      <c r="A61" s="10" t="n">
        <v>1101072</v>
      </c>
      <c r="B61" s="11" t="inlineStr">
        <is>
          <t>Resettable fuse PPTC 200MA 30V</t>
        </is>
      </c>
      <c r="C61" s="12">
        <f>ROUNDUP(MAX(0,ROUND(I61+J61-G61,10)),0)</f>
        <v>5078</v>
      </c>
      <c r="D61" s="8" t="n"/>
      <c r="E61" s="11" t="inlineStr">
        <is>
          <t>ندارد</t>
        </is>
      </c>
      <c r="F61" s="11" t="inlineStr">
        <is>
          <t>-</t>
        </is>
      </c>
      <c r="G61" s="10" t="n">
        <v>13322</v>
      </c>
      <c r="H61" s="8" t="n"/>
      <c r="I61" s="10">
        <f>SUMIF('جزئیات BOM'!$G$4:$G$607,A61,'جزئیات BOM'!$S$4:$S$607)</f>
        <v>8400</v>
      </c>
      <c r="J61" s="10">
        <f>SUMIF('جزئیات BOM'!$G$4:$G$607,A61,'جزئیات BOM'!$T$4:$T$607)</f>
        <v>10000</v>
      </c>
      <c r="K61" s="10">
        <f>ROUND(G61-I61,10)</f>
        <v>4922</v>
      </c>
      <c r="L61" s="10">
        <f>ROUNDUP(MAX(0,ROUND(J61-G61,10)),0)</f>
        <v>0</v>
      </c>
      <c r="M61" s="10" t="n">
        <v>5078</v>
      </c>
      <c r="N61" s="11" t="inlineStr">
        <is>
          <t>ثبت عددی</t>
        </is>
      </c>
      <c r="O61" s="11" t="inlineStr">
        <is>
          <t>عدد(شمارشی)</t>
        </is>
      </c>
      <c r="P61" s="11" t="inlineStr"/>
      <c r="Q61" s="13" t="n"/>
      <c r="R61" s="13" t="n"/>
    </row>
    <row r="62" ht="20" customHeight="1">
      <c r="A62" s="5" t="n">
        <v>1101064</v>
      </c>
      <c r="B62" s="6" t="inlineStr">
        <is>
          <t>Resistor 2.7K,5%,1/16W</t>
        </is>
      </c>
      <c r="C62" s="7">
        <f>ROUNDUP(MAX(0,ROUND(I62+J62-G62,10)),0)</f>
        <v>4799</v>
      </c>
      <c r="D62" s="8" t="n"/>
      <c r="E62" s="6" t="inlineStr">
        <is>
          <t>ندارد</t>
        </is>
      </c>
      <c r="F62" s="6" t="inlineStr">
        <is>
          <t>-</t>
        </is>
      </c>
      <c r="G62" s="5" t="n">
        <v>21751</v>
      </c>
      <c r="H62" s="8" t="n"/>
      <c r="I62" s="5">
        <f>SUMIF('جزئیات BOM'!$G$4:$G$607,A62,'جزئیات BOM'!$S$4:$S$607)</f>
        <v>15750</v>
      </c>
      <c r="J62" s="5">
        <f>SUMIF('جزئیات BOM'!$G$4:$G$607,A62,'جزئیات BOM'!$T$4:$T$607)</f>
        <v>10800</v>
      </c>
      <c r="K62" s="5">
        <f>ROUND(G62-I62,10)</f>
        <v>6001</v>
      </c>
      <c r="L62" s="5">
        <f>ROUNDUP(MAX(0,ROUND(J62-G62,10)),0)</f>
        <v>0</v>
      </c>
      <c r="M62" s="5" t="n">
        <v>4799</v>
      </c>
      <c r="N62" s="6" t="inlineStr">
        <is>
          <t>ثبت عددی</t>
        </is>
      </c>
      <c r="O62" s="6" t="inlineStr">
        <is>
          <t>عدد(شمارشی)</t>
        </is>
      </c>
      <c r="P62" s="6" t="inlineStr"/>
      <c r="Q62" s="9" t="n"/>
      <c r="R62" s="9" t="n"/>
    </row>
    <row r="63" ht="20" customHeight="1">
      <c r="A63" s="10" t="n">
        <v>1110080</v>
      </c>
      <c r="B63" s="11" t="inlineStr">
        <is>
          <t>Capacitor 1uF,50V,X7R,10%</t>
        </is>
      </c>
      <c r="C63" s="12">
        <f>ROUNDUP(MAX(0,ROUND(I63+J63-G63,10)),0)</f>
        <v>3984</v>
      </c>
      <c r="D63" s="8" t="n"/>
      <c r="E63" s="11" t="inlineStr">
        <is>
          <t>ندارد</t>
        </is>
      </c>
      <c r="F63" s="11" t="inlineStr">
        <is>
          <t>-</t>
        </is>
      </c>
      <c r="G63" s="10" t="n">
        <v>8616</v>
      </c>
      <c r="H63" s="8" t="n"/>
      <c r="I63" s="10">
        <f>SUMIF('جزئیات BOM'!$G$4:$G$607,A63,'جزئیات BOM'!$S$4:$S$607)</f>
        <v>4600</v>
      </c>
      <c r="J63" s="10">
        <f>SUMIF('جزئیات BOM'!$G$4:$G$607,A63,'جزئیات BOM'!$T$4:$T$607)</f>
        <v>8000</v>
      </c>
      <c r="K63" s="10">
        <f>ROUND(G63-I63,10)</f>
        <v>4016</v>
      </c>
      <c r="L63" s="10">
        <f>ROUNDUP(MAX(0,ROUND(J63-G63,10)),0)</f>
        <v>0</v>
      </c>
      <c r="M63" s="10" t="n">
        <v>3984</v>
      </c>
      <c r="N63" s="11" t="inlineStr">
        <is>
          <t>ثبت عددی</t>
        </is>
      </c>
      <c r="O63" s="11" t="inlineStr">
        <is>
          <t>عدد</t>
        </is>
      </c>
      <c r="P63" s="11" t="inlineStr"/>
      <c r="Q63" s="13" t="n"/>
      <c r="R63" s="13" t="n"/>
    </row>
    <row r="64" ht="20" customHeight="1">
      <c r="A64" s="5" t="n">
        <v>1110271</v>
      </c>
      <c r="B64" s="6" t="inlineStr">
        <is>
          <t>Resistor 680, 1%, 1/2W</t>
        </is>
      </c>
      <c r="C64" s="7">
        <f>ROUNDUP(MAX(0,ROUND(I64+J64-G64,10)),0)</f>
        <v>3968</v>
      </c>
      <c r="D64" s="8" t="n"/>
      <c r="E64" s="6" t="inlineStr">
        <is>
          <t>ندارد</t>
        </is>
      </c>
      <c r="F64" s="6" t="inlineStr">
        <is>
          <t>-</t>
        </is>
      </c>
      <c r="G64" s="5" t="n">
        <v>1352</v>
      </c>
      <c r="H64" s="8" t="n"/>
      <c r="I64" s="5">
        <f>SUMIF('جزئیات BOM'!$G$4:$G$607,A64,'جزئیات BOM'!$S$4:$S$607)</f>
        <v>2920</v>
      </c>
      <c r="J64" s="5">
        <f>SUMIF('جزئیات BOM'!$G$4:$G$607,A64,'جزئیات BOM'!$T$4:$T$607)</f>
        <v>2400</v>
      </c>
      <c r="K64" s="5">
        <f>ROUND(G64-I64,10)</f>
        <v>-1568</v>
      </c>
      <c r="L64" s="5">
        <f>ROUNDUP(MAX(0,ROUND(J64-G64,10)),0)</f>
        <v>1048</v>
      </c>
      <c r="M64" s="5" t="n">
        <v>3968</v>
      </c>
      <c r="N64" s="6" t="inlineStr">
        <is>
          <t>ثبت عددی</t>
        </is>
      </c>
      <c r="O64" s="6" t="inlineStr">
        <is>
          <t>عدد</t>
        </is>
      </c>
      <c r="P64" s="6" t="inlineStr"/>
      <c r="Q64" s="9" t="n"/>
      <c r="R64" s="9" t="n"/>
    </row>
    <row r="65" ht="20" customHeight="1">
      <c r="A65" s="10" t="n">
        <v>1110902</v>
      </c>
      <c r="B65" s="11" t="inlineStr">
        <is>
          <t>Diode 1N4004 SMT</t>
        </is>
      </c>
      <c r="C65" s="12">
        <f>ROUNDUP(MAX(0,ROUND(I65+J65-G65,10)),0)</f>
        <v>3965</v>
      </c>
      <c r="D65" s="8" t="n"/>
      <c r="E65" s="11" t="inlineStr">
        <is>
          <t>دارد</t>
        </is>
      </c>
      <c r="F65" s="11" t="inlineStr">
        <is>
          <t>2</t>
        </is>
      </c>
      <c r="G65" s="10" t="n">
        <v>0</v>
      </c>
      <c r="H65" s="8" t="n"/>
      <c r="I65" s="10">
        <f>SUMIF('جزئیات BOM'!$G$4:$G$607,A65,'جزئیات BOM'!$S$4:$S$607)</f>
        <v>2805</v>
      </c>
      <c r="J65" s="10">
        <f>SUMIF('جزئیات BOM'!$G$4:$G$607,A65,'جزئیات BOM'!$T$4:$T$607)</f>
        <v>1160</v>
      </c>
      <c r="K65" s="10">
        <f>ROUND(G65-I65,10)</f>
        <v>-2805</v>
      </c>
      <c r="L65" s="10">
        <f>ROUNDUP(MAX(0,ROUND(J65-G65,10)),0)</f>
        <v>1160</v>
      </c>
      <c r="M65" s="10" t="n">
        <v>0</v>
      </c>
      <c r="N65" s="14" t="inlineStr">
        <is>
          <t>خالی در فایل؛ فرض صفر</t>
        </is>
      </c>
      <c r="O65" s="11" t="inlineStr">
        <is>
          <t>عدد</t>
        </is>
      </c>
      <c r="P65" s="11" t="inlineStr">
        <is>
          <t>سهم جایگزین طبق BOM؛ نیازمند تأیید | موجودی نامشخص؛ صفر فرض شده</t>
        </is>
      </c>
      <c r="Q65" s="13" t="n"/>
      <c r="R65" s="13" t="n"/>
    </row>
    <row r="66" ht="20" customHeight="1">
      <c r="A66" s="5" t="n">
        <v>1110505</v>
      </c>
      <c r="B66" s="6" t="inlineStr">
        <is>
          <t>IC BTS7200-2EPA</t>
        </is>
      </c>
      <c r="C66" s="7">
        <f>ROUNDUP(MAX(0,ROUND(I66+J66-G66,10)),0)</f>
        <v>3738</v>
      </c>
      <c r="D66" s="8" t="n"/>
      <c r="E66" s="6" t="inlineStr">
        <is>
          <t>ندارد</t>
        </is>
      </c>
      <c r="F66" s="6" t="inlineStr">
        <is>
          <t>-</t>
        </is>
      </c>
      <c r="G66" s="5" t="n">
        <v>4242</v>
      </c>
      <c r="H66" s="8" t="n"/>
      <c r="I66" s="5">
        <f>SUMIF('جزئیات BOM'!$G$4:$G$607,A66,'جزئیات BOM'!$S$4:$S$607)</f>
        <v>4380</v>
      </c>
      <c r="J66" s="5">
        <f>SUMIF('جزئیات BOM'!$G$4:$G$607,A66,'جزئیات BOM'!$T$4:$T$607)</f>
        <v>3600</v>
      </c>
      <c r="K66" s="5">
        <f>ROUND(G66-I66,10)</f>
        <v>-138</v>
      </c>
      <c r="L66" s="5">
        <f>ROUNDUP(MAX(0,ROUND(J66-G66,10)),0)</f>
        <v>0</v>
      </c>
      <c r="M66" s="5" t="n">
        <v>3738</v>
      </c>
      <c r="N66" s="6" t="inlineStr">
        <is>
          <t>ثبت عددی</t>
        </is>
      </c>
      <c r="O66" s="6" t="inlineStr">
        <is>
          <t>عدد</t>
        </is>
      </c>
      <c r="P66" s="6" t="inlineStr"/>
      <c r="Q66" s="9" t="n"/>
      <c r="R66" s="9" t="n"/>
    </row>
    <row r="67" ht="20" customHeight="1">
      <c r="A67" s="10" t="n">
        <v>1100100</v>
      </c>
      <c r="B67" s="11" t="inlineStr">
        <is>
          <t>PCB ICU</t>
        </is>
      </c>
      <c r="C67" s="12">
        <f>ROUNDUP(MAX(0,ROUND(I67+J67-G67,10)),0)</f>
        <v>3720</v>
      </c>
      <c r="D67" s="8" t="n"/>
      <c r="E67" s="11" t="inlineStr">
        <is>
          <t>ندارد</t>
        </is>
      </c>
      <c r="F67" s="11" t="inlineStr">
        <is>
          <t>-</t>
        </is>
      </c>
      <c r="G67" s="10" t="n">
        <v>1130</v>
      </c>
      <c r="H67" s="8" t="n"/>
      <c r="I67" s="10">
        <f>SUMIF('جزئیات BOM'!$G$4:$G$607,A67,'جزئیات BOM'!$S$4:$S$607)</f>
        <v>2450</v>
      </c>
      <c r="J67" s="10">
        <f>SUMIF('جزئیات BOM'!$G$4:$G$607,A67,'جزئیات BOM'!$T$4:$T$607)</f>
        <v>2400</v>
      </c>
      <c r="K67" s="10">
        <f>ROUND(G67-I67,10)</f>
        <v>-1320</v>
      </c>
      <c r="L67" s="10">
        <f>ROUNDUP(MAX(0,ROUND(J67-G67,10)),0)</f>
        <v>1270</v>
      </c>
      <c r="M67" s="10" t="n">
        <v>3720</v>
      </c>
      <c r="N67" s="11" t="inlineStr">
        <is>
          <t>ثبت عددی</t>
        </is>
      </c>
      <c r="O67" s="11" t="inlineStr">
        <is>
          <t>عدد(شمارشی)</t>
        </is>
      </c>
      <c r="P67" s="11" t="inlineStr"/>
      <c r="Q67" s="13" t="n"/>
      <c r="R67" s="13" t="n"/>
    </row>
    <row r="68" ht="20" customHeight="1">
      <c r="A68" s="5" t="n">
        <v>1111052</v>
      </c>
      <c r="B68" s="6" t="inlineStr">
        <is>
          <t>IC Regulator TLE42744DV50ATMA1</t>
        </is>
      </c>
      <c r="C68" s="7">
        <f>ROUNDUP(MAX(0,ROUND(I68+J68-G68,10)),0)</f>
        <v>3698</v>
      </c>
      <c r="D68" s="8" t="n"/>
      <c r="E68" s="6" t="inlineStr">
        <is>
          <t>ندارد</t>
        </is>
      </c>
      <c r="F68" s="6" t="inlineStr">
        <is>
          <t>-</t>
        </is>
      </c>
      <c r="G68" s="5" t="n">
        <v>1152</v>
      </c>
      <c r="H68" s="8" t="n"/>
      <c r="I68" s="5">
        <f>SUMIF('جزئیات BOM'!$G$4:$G$607,A68,'جزئیات BOM'!$S$4:$S$607)</f>
        <v>2450</v>
      </c>
      <c r="J68" s="5">
        <f>SUMIF('جزئیات BOM'!$G$4:$G$607,A68,'جزئیات BOM'!$T$4:$T$607)</f>
        <v>2400</v>
      </c>
      <c r="K68" s="5">
        <f>ROUND(G68-I68,10)</f>
        <v>-1298</v>
      </c>
      <c r="L68" s="5">
        <f>ROUNDUP(MAX(0,ROUND(J68-G68,10)),0)</f>
        <v>1248</v>
      </c>
      <c r="M68" s="5" t="n">
        <v>3698</v>
      </c>
      <c r="N68" s="6" t="inlineStr">
        <is>
          <t>ثبت عددی</t>
        </is>
      </c>
      <c r="O68" s="6" t="inlineStr">
        <is>
          <t>عدد(شمارشی)</t>
        </is>
      </c>
      <c r="P68" s="6" t="inlineStr"/>
      <c r="Q68" s="9" t="n"/>
      <c r="R68" s="9" t="n"/>
    </row>
    <row r="69" ht="20" customHeight="1">
      <c r="A69" s="10" t="n">
        <v>1111050</v>
      </c>
      <c r="B69" s="11" t="inlineStr">
        <is>
          <t>IC Microcontroller 8bit PIC18F25K80-I/SS</t>
        </is>
      </c>
      <c r="C69" s="12">
        <f>ROUNDUP(MAX(0,ROUND(I69+J69-G69,10)),0)</f>
        <v>3684</v>
      </c>
      <c r="D69" s="8" t="n"/>
      <c r="E69" s="11" t="inlineStr">
        <is>
          <t>ندارد</t>
        </is>
      </c>
      <c r="F69" s="11" t="inlineStr">
        <is>
          <t>-</t>
        </is>
      </c>
      <c r="G69" s="10" t="n">
        <v>1166</v>
      </c>
      <c r="H69" s="8" t="n"/>
      <c r="I69" s="10">
        <f>SUMIF('جزئیات BOM'!$G$4:$G$607,A69,'جزئیات BOM'!$S$4:$S$607)</f>
        <v>2450</v>
      </c>
      <c r="J69" s="10">
        <f>SUMIF('جزئیات BOM'!$G$4:$G$607,A69,'جزئیات BOM'!$T$4:$T$607)</f>
        <v>2400</v>
      </c>
      <c r="K69" s="10">
        <f>ROUND(G69-I69,10)</f>
        <v>-1284</v>
      </c>
      <c r="L69" s="10">
        <f>ROUNDUP(MAX(0,ROUND(J69-G69,10)),0)</f>
        <v>1234</v>
      </c>
      <c r="M69" s="10" t="n">
        <v>3684</v>
      </c>
      <c r="N69" s="11" t="inlineStr">
        <is>
          <t>ثبت عددی</t>
        </is>
      </c>
      <c r="O69" s="11" t="inlineStr">
        <is>
          <t>عدد(شمارشی)</t>
        </is>
      </c>
      <c r="P69" s="11" t="inlineStr"/>
      <c r="Q69" s="13" t="n"/>
      <c r="R69" s="13" t="n"/>
    </row>
    <row r="70" ht="20" customHeight="1">
      <c r="A70" s="5" t="n">
        <v>1111051</v>
      </c>
      <c r="B70" s="6" t="inlineStr">
        <is>
          <t>IC PCF7991AT</t>
        </is>
      </c>
      <c r="C70" s="7">
        <f>ROUNDUP(MAX(0,ROUND(I70+J70-G70,10)),0)</f>
        <v>3677</v>
      </c>
      <c r="D70" s="8" t="n"/>
      <c r="E70" s="6" t="inlineStr">
        <is>
          <t>ندارد</t>
        </is>
      </c>
      <c r="F70" s="6" t="inlineStr">
        <is>
          <t>-</t>
        </is>
      </c>
      <c r="G70" s="5" t="n">
        <v>1173</v>
      </c>
      <c r="H70" s="8" t="n"/>
      <c r="I70" s="5">
        <f>SUMIF('جزئیات BOM'!$G$4:$G$607,A70,'جزئیات BOM'!$S$4:$S$607)</f>
        <v>2450</v>
      </c>
      <c r="J70" s="5">
        <f>SUMIF('جزئیات BOM'!$G$4:$G$607,A70,'جزئیات BOM'!$T$4:$T$607)</f>
        <v>2400</v>
      </c>
      <c r="K70" s="5">
        <f>ROUND(G70-I70,10)</f>
        <v>-1277</v>
      </c>
      <c r="L70" s="5">
        <f>ROUNDUP(MAX(0,ROUND(J70-G70,10)),0)</f>
        <v>1227</v>
      </c>
      <c r="M70" s="5" t="n">
        <v>3677</v>
      </c>
      <c r="N70" s="6" t="inlineStr">
        <is>
          <t>ثبت عددی</t>
        </is>
      </c>
      <c r="O70" s="6" t="inlineStr">
        <is>
          <t>عدد(شمارشی)</t>
        </is>
      </c>
      <c r="P70" s="6" t="inlineStr"/>
      <c r="Q70" s="9" t="n"/>
      <c r="R70" s="9" t="n"/>
    </row>
    <row r="71" ht="20" customHeight="1">
      <c r="A71" s="10" t="n">
        <v>1110856</v>
      </c>
      <c r="B71" s="11" t="inlineStr">
        <is>
          <t>LED Red-RQS 170TS-DPE</t>
        </is>
      </c>
      <c r="C71" s="12">
        <f>ROUNDUP(MAX(0,ROUND(I71+J71-G71,10)),0)</f>
        <v>3582</v>
      </c>
      <c r="D71" s="8" t="n"/>
      <c r="E71" s="11" t="inlineStr">
        <is>
          <t>ندارد</t>
        </is>
      </c>
      <c r="F71" s="11" t="inlineStr">
        <is>
          <t>-</t>
        </is>
      </c>
      <c r="G71" s="10" t="n">
        <v>6178</v>
      </c>
      <c r="H71" s="8" t="n"/>
      <c r="I71" s="10">
        <f>SUMIF('جزئیات BOM'!$G$4:$G$607,A71,'جزئیات BOM'!$S$4:$S$607)</f>
        <v>5120</v>
      </c>
      <c r="J71" s="10">
        <f>SUMIF('جزئیات BOM'!$G$4:$G$607,A71,'جزئیات BOM'!$T$4:$T$607)</f>
        <v>4640</v>
      </c>
      <c r="K71" s="10">
        <f>ROUND(G71-I71,10)</f>
        <v>1058</v>
      </c>
      <c r="L71" s="10">
        <f>ROUNDUP(MAX(0,ROUND(J71-G71,10)),0)</f>
        <v>0</v>
      </c>
      <c r="M71" s="10" t="n">
        <v>3582</v>
      </c>
      <c r="N71" s="11" t="inlineStr">
        <is>
          <t>ثبت عددی</t>
        </is>
      </c>
      <c r="O71" s="11" t="inlineStr">
        <is>
          <t>عدد</t>
        </is>
      </c>
      <c r="P71" s="11" t="inlineStr"/>
      <c r="Q71" s="13" t="n"/>
      <c r="R71" s="13" t="n"/>
    </row>
    <row r="72" ht="20" customHeight="1">
      <c r="A72" s="5" t="n">
        <v>1110208</v>
      </c>
      <c r="B72" s="6" t="inlineStr">
        <is>
          <t>Resistor 100,1%,1/8W</t>
        </is>
      </c>
      <c r="C72" s="7">
        <f>ROUNDUP(MAX(0,ROUND(I72+J72-G72,10)),0)</f>
        <v>3500</v>
      </c>
      <c r="D72" s="8" t="n"/>
      <c r="E72" s="6" t="inlineStr">
        <is>
          <t>دارد</t>
        </is>
      </c>
      <c r="F72" s="6" t="inlineStr">
        <is>
          <t>2</t>
        </is>
      </c>
      <c r="G72" s="5" t="n">
        <v>0</v>
      </c>
      <c r="H72" s="8" t="n"/>
      <c r="I72" s="5">
        <f>SUMIF('جزئیات BOM'!$G$4:$G$607,A72,'جزئیات BOM'!$S$4:$S$607)</f>
        <v>3500</v>
      </c>
      <c r="J72" s="5">
        <f>SUMIF('جزئیات BOM'!$G$4:$G$607,A72,'جزئیات BOM'!$T$4:$T$607)</f>
        <v>0</v>
      </c>
      <c r="K72" s="5">
        <f>ROUND(G72-I72,10)</f>
        <v>-3500</v>
      </c>
      <c r="L72" s="5">
        <f>ROUNDUP(MAX(0,ROUND(J72-G72,10)),0)</f>
        <v>0</v>
      </c>
      <c r="M72" s="5" t="n">
        <v>0</v>
      </c>
      <c r="N72" s="14" t="inlineStr">
        <is>
          <t>خالی در فایل؛ فرض صفر</t>
        </is>
      </c>
      <c r="O72" s="6" t="inlineStr">
        <is>
          <t>عدد</t>
        </is>
      </c>
      <c r="P72" s="6" t="inlineStr">
        <is>
          <t>سهم جایگزین طبق BOM؛ نیازمند تأیید | موجودی نامشخص؛ صفر فرض شده</t>
        </is>
      </c>
      <c r="Q72" s="9" t="n"/>
      <c r="R72" s="9" t="n"/>
    </row>
    <row r="73" ht="20" customHeight="1">
      <c r="A73" s="10" t="n">
        <v>1111017</v>
      </c>
      <c r="B73" s="11" t="inlineStr">
        <is>
          <t>Crystal 8.000MHZ ,-40°C to 125 °C</t>
        </is>
      </c>
      <c r="C73" s="12">
        <f>ROUNDUP(MAX(0,ROUND(I73+J73-G73,10)),0)</f>
        <v>3484</v>
      </c>
      <c r="D73" s="8" t="n"/>
      <c r="E73" s="11" t="inlineStr">
        <is>
          <t>ندارد</t>
        </is>
      </c>
      <c r="F73" s="11" t="inlineStr">
        <is>
          <t>-</t>
        </is>
      </c>
      <c r="G73" s="10" t="n">
        <v>1366</v>
      </c>
      <c r="H73" s="8" t="n"/>
      <c r="I73" s="10">
        <f>SUMIF('جزئیات BOM'!$G$4:$G$607,A73,'جزئیات BOM'!$S$4:$S$607)</f>
        <v>2450</v>
      </c>
      <c r="J73" s="10">
        <f>SUMIF('جزئیات BOM'!$G$4:$G$607,A73,'جزئیات BOM'!$T$4:$T$607)</f>
        <v>2400</v>
      </c>
      <c r="K73" s="10">
        <f>ROUND(G73-I73,10)</f>
        <v>-1084</v>
      </c>
      <c r="L73" s="10">
        <f>ROUNDUP(MAX(0,ROUND(J73-G73,10)),0)</f>
        <v>1034</v>
      </c>
      <c r="M73" s="10" t="n">
        <v>3484</v>
      </c>
      <c r="N73" s="11" t="inlineStr">
        <is>
          <t>ثبت عددی</t>
        </is>
      </c>
      <c r="O73" s="11" t="inlineStr">
        <is>
          <t>عدد</t>
        </is>
      </c>
      <c r="P73" s="11" t="inlineStr"/>
      <c r="Q73" s="13" t="n"/>
      <c r="R73" s="13" t="n"/>
    </row>
    <row r="74" ht="20" customHeight="1">
      <c r="A74" s="5" t="n">
        <v>1110565</v>
      </c>
      <c r="B74" s="6" t="inlineStr">
        <is>
          <t>Capacitor 100uf/25V Aluminum Electrolytic</t>
        </is>
      </c>
      <c r="C74" s="7">
        <f>ROUNDUP(MAX(0,ROUND(I74+J74-G74,10)),0)</f>
        <v>3336</v>
      </c>
      <c r="D74" s="8" t="n"/>
      <c r="E74" s="6" t="inlineStr">
        <is>
          <t>ندارد</t>
        </is>
      </c>
      <c r="F74" s="6" t="inlineStr">
        <is>
          <t>-</t>
        </is>
      </c>
      <c r="G74" s="5" t="n">
        <v>1514</v>
      </c>
      <c r="H74" s="8" t="n"/>
      <c r="I74" s="5">
        <f>SUMIF('جزئیات BOM'!$G$4:$G$607,A74,'جزئیات BOM'!$S$4:$S$607)</f>
        <v>2450</v>
      </c>
      <c r="J74" s="5">
        <f>SUMIF('جزئیات BOM'!$G$4:$G$607,A74,'جزئیات BOM'!$T$4:$T$607)</f>
        <v>2400</v>
      </c>
      <c r="K74" s="5">
        <f>ROUND(G74-I74,10)</f>
        <v>-936</v>
      </c>
      <c r="L74" s="5">
        <f>ROUNDUP(MAX(0,ROUND(J74-G74,10)),0)</f>
        <v>886</v>
      </c>
      <c r="M74" s="5" t="n">
        <v>3336</v>
      </c>
      <c r="N74" s="6" t="inlineStr">
        <is>
          <t>ثبت عددی</t>
        </is>
      </c>
      <c r="O74" s="6" t="inlineStr">
        <is>
          <t>عدد(شمارشی)</t>
        </is>
      </c>
      <c r="P74" s="6" t="inlineStr"/>
      <c r="Q74" s="9" t="n"/>
      <c r="R74" s="9" t="n"/>
    </row>
    <row r="75" ht="20" customHeight="1">
      <c r="A75" s="10" t="n">
        <v>1110177</v>
      </c>
      <c r="B75" s="11" t="inlineStr">
        <is>
          <t>Capacitor 220µF 35V Aluminum Electrolytic</t>
        </is>
      </c>
      <c r="C75" s="12">
        <f>ROUNDUP(MAX(0,ROUND(I75+J75-G75,10)),0)</f>
        <v>3320</v>
      </c>
      <c r="D75" s="8" t="n"/>
      <c r="E75" s="11" t="inlineStr">
        <is>
          <t>ندارد</t>
        </is>
      </c>
      <c r="F75" s="11" t="inlineStr">
        <is>
          <t>-</t>
        </is>
      </c>
      <c r="G75" s="10" t="n">
        <v>1530</v>
      </c>
      <c r="H75" s="8" t="n"/>
      <c r="I75" s="10">
        <f>SUMIF('جزئیات BOM'!$G$4:$G$607,A75,'جزئیات BOM'!$S$4:$S$607)</f>
        <v>2450</v>
      </c>
      <c r="J75" s="10">
        <f>SUMIF('جزئیات BOM'!$G$4:$G$607,A75,'جزئیات BOM'!$T$4:$T$607)</f>
        <v>2400</v>
      </c>
      <c r="K75" s="10">
        <f>ROUND(G75-I75,10)</f>
        <v>-920</v>
      </c>
      <c r="L75" s="10">
        <f>ROUNDUP(MAX(0,ROUND(J75-G75,10)),0)</f>
        <v>870</v>
      </c>
      <c r="M75" s="10" t="n">
        <v>3320</v>
      </c>
      <c r="N75" s="11" t="inlineStr">
        <is>
          <t>ثبت عددی</t>
        </is>
      </c>
      <c r="O75" s="11" t="inlineStr">
        <is>
          <t>عدد</t>
        </is>
      </c>
      <c r="P75" s="11" t="inlineStr"/>
      <c r="Q75" s="13" t="n"/>
      <c r="R75" s="13" t="n"/>
    </row>
    <row r="76" ht="20" customHeight="1">
      <c r="A76" s="5" t="n">
        <v>1110483</v>
      </c>
      <c r="B76" s="6" t="inlineStr">
        <is>
          <t>IC L9826</t>
        </is>
      </c>
      <c r="C76" s="7">
        <f>ROUNDUP(MAX(0,ROUND(I76+J76-G76,10)),0)</f>
        <v>3247</v>
      </c>
      <c r="D76" s="8" t="n"/>
      <c r="E76" s="6" t="inlineStr">
        <is>
          <t>ندارد</t>
        </is>
      </c>
      <c r="F76" s="6" t="inlineStr">
        <is>
          <t>-</t>
        </is>
      </c>
      <c r="G76" s="5" t="n">
        <v>2073</v>
      </c>
      <c r="H76" s="8" t="n"/>
      <c r="I76" s="5">
        <f>SUMIF('جزئیات BOM'!$G$4:$G$607,A76,'جزئیات BOM'!$S$4:$S$607)</f>
        <v>2920</v>
      </c>
      <c r="J76" s="5">
        <f>SUMIF('جزئیات BOM'!$G$4:$G$607,A76,'جزئیات BOM'!$T$4:$T$607)</f>
        <v>2400</v>
      </c>
      <c r="K76" s="5">
        <f>ROUND(G76-I76,10)</f>
        <v>-847</v>
      </c>
      <c r="L76" s="5">
        <f>ROUNDUP(MAX(0,ROUND(J76-G76,10)),0)</f>
        <v>327</v>
      </c>
      <c r="M76" s="5" t="n">
        <v>3247</v>
      </c>
      <c r="N76" s="6" t="inlineStr">
        <is>
          <t>ثبت عددی</t>
        </is>
      </c>
      <c r="O76" s="6" t="inlineStr">
        <is>
          <t>عدد</t>
        </is>
      </c>
      <c r="P76" s="6" t="inlineStr"/>
      <c r="Q76" s="9" t="n"/>
      <c r="R76" s="9" t="n"/>
    </row>
    <row r="77" ht="20" customHeight="1">
      <c r="A77" s="10" t="n">
        <v>1120119</v>
      </c>
      <c r="B77" s="11" t="inlineStr">
        <is>
          <t>Electrolit Capacitor 220uF,50V,20%,MVK,-55°C~+105°C</t>
        </is>
      </c>
      <c r="C77" s="12">
        <f>ROUNDUP(MAX(0,ROUND(I77+J77-G77,10)),0)</f>
        <v>3160</v>
      </c>
      <c r="D77" s="8" t="n"/>
      <c r="E77" s="11" t="inlineStr">
        <is>
          <t>دارد</t>
        </is>
      </c>
      <c r="F77" s="11" t="inlineStr">
        <is>
          <t>2</t>
        </is>
      </c>
      <c r="G77" s="10" t="n">
        <v>0</v>
      </c>
      <c r="H77" s="8" t="n"/>
      <c r="I77" s="10">
        <f>SUMIF('جزئیات BOM'!$G$4:$G$607,A77,'جزئیات BOM'!$S$4:$S$607)</f>
        <v>1960</v>
      </c>
      <c r="J77" s="10">
        <f>SUMIF('جزئیات BOM'!$G$4:$G$607,A77,'جزئیات BOM'!$T$4:$T$607)</f>
        <v>1200</v>
      </c>
      <c r="K77" s="10">
        <f>ROUND(G77-I77,10)</f>
        <v>-1960</v>
      </c>
      <c r="L77" s="10">
        <f>ROUNDUP(MAX(0,ROUND(J77-G77,10)),0)</f>
        <v>1200</v>
      </c>
      <c r="M77" s="10" t="n">
        <v>0</v>
      </c>
      <c r="N77" s="14" t="inlineStr">
        <is>
          <t>خالی در فایل؛ فرض صفر</t>
        </is>
      </c>
      <c r="O77" s="11" t="inlineStr">
        <is>
          <t>عدد</t>
        </is>
      </c>
      <c r="P77" s="11" t="inlineStr">
        <is>
          <t>سهم جایگزین طبق BOM؛ نیازمند تأیید | موجودی نامشخص؛ صفر فرض شده</t>
        </is>
      </c>
      <c r="Q77" s="13" t="n"/>
      <c r="R77" s="13" t="n"/>
    </row>
    <row r="78" ht="20" customHeight="1">
      <c r="A78" s="5" t="n">
        <v>1100458</v>
      </c>
      <c r="B78" s="6" t="inlineStr">
        <is>
          <t>PCB PW R Crouse Type</t>
        </is>
      </c>
      <c r="C78" s="7">
        <f>ROUNDUP(MAX(0,ROUND(I78+J78-G78,10)),0)</f>
        <v>3008</v>
      </c>
      <c r="D78" s="8" t="n"/>
      <c r="E78" s="6" t="inlineStr">
        <is>
          <t>ندارد</t>
        </is>
      </c>
      <c r="F78" s="6" t="inlineStr">
        <is>
          <t>-</t>
        </is>
      </c>
      <c r="G78" s="5" t="n">
        <v>2992</v>
      </c>
      <c r="H78" s="8" t="n"/>
      <c r="I78" s="5">
        <f>SUMIF('جزئیات BOM'!$G$4:$G$607,A78,'جزئیات BOM'!$S$4:$S$607)</f>
        <v>3000</v>
      </c>
      <c r="J78" s="5">
        <f>SUMIF('جزئیات BOM'!$G$4:$G$607,A78,'جزئیات BOM'!$T$4:$T$607)</f>
        <v>3000</v>
      </c>
      <c r="K78" s="5">
        <f>ROUND(G78-I78,10)</f>
        <v>-8</v>
      </c>
      <c r="L78" s="5">
        <f>ROUNDUP(MAX(0,ROUND(J78-G78,10)),0)</f>
        <v>8</v>
      </c>
      <c r="M78" s="5" t="n">
        <v>3008</v>
      </c>
      <c r="N78" s="6" t="inlineStr">
        <is>
          <t>ثبت عددی</t>
        </is>
      </c>
      <c r="O78" s="6" t="inlineStr">
        <is>
          <t>عدد(شمارشی)</t>
        </is>
      </c>
      <c r="P78" s="6" t="inlineStr"/>
      <c r="Q78" s="9" t="n"/>
      <c r="R78" s="9" t="n"/>
    </row>
    <row r="79" ht="20" customHeight="1">
      <c r="A79" s="10" t="n">
        <v>1110396</v>
      </c>
      <c r="B79" s="11" t="inlineStr">
        <is>
          <t>Resistor 3.3k,1%,1/4w</t>
        </is>
      </c>
      <c r="C79" s="12">
        <f>ROUNDUP(MAX(0,ROUND(I79+J79-G79,10)),0)</f>
        <v>2970</v>
      </c>
      <c r="D79" s="8" t="n"/>
      <c r="E79" s="11" t="inlineStr">
        <is>
          <t>دارد</t>
        </is>
      </c>
      <c r="F79" s="11" t="inlineStr">
        <is>
          <t>2</t>
        </is>
      </c>
      <c r="G79" s="10" t="n">
        <v>0</v>
      </c>
      <c r="H79" s="8" t="n"/>
      <c r="I79" s="10">
        <f>SUMIF('جزئیات BOM'!$G$4:$G$607,A79,'جزئیات BOM'!$S$4:$S$607)</f>
        <v>1890</v>
      </c>
      <c r="J79" s="10">
        <f>SUMIF('جزئیات BOM'!$G$4:$G$607,A79,'جزئیات BOM'!$T$4:$T$607)</f>
        <v>1080</v>
      </c>
      <c r="K79" s="10">
        <f>ROUND(G79-I79,10)</f>
        <v>-1890</v>
      </c>
      <c r="L79" s="10">
        <f>ROUNDUP(MAX(0,ROUND(J79-G79,10)),0)</f>
        <v>1080</v>
      </c>
      <c r="M79" s="10" t="n">
        <v>0</v>
      </c>
      <c r="N79" s="14" t="inlineStr">
        <is>
          <t>خالی در فایل؛ فرض صفر</t>
        </is>
      </c>
      <c r="O79" s="11" t="inlineStr">
        <is>
          <t>عدد</t>
        </is>
      </c>
      <c r="P79" s="11" t="inlineStr">
        <is>
          <t>سهم جایگزین طبق BOM؛ نیازمند تأیید | موجودی نامشخص؛ صفر فرض شده</t>
        </is>
      </c>
      <c r="Q79" s="13" t="n"/>
      <c r="R79" s="13" t="n"/>
    </row>
    <row r="80" ht="20" customHeight="1">
      <c r="A80" s="5" t="n">
        <v>1110813</v>
      </c>
      <c r="B80" s="6" t="inlineStr">
        <is>
          <t>DIODE S1JHM3/61T</t>
        </is>
      </c>
      <c r="C80" s="7">
        <f>ROUNDUP(MAX(0,ROUND(I80+J80-G80,10)),0)</f>
        <v>2961</v>
      </c>
      <c r="D80" s="8" t="n"/>
      <c r="E80" s="6" t="inlineStr">
        <is>
          <t>ندارد</t>
        </is>
      </c>
      <c r="F80" s="6" t="inlineStr">
        <is>
          <t>-</t>
        </is>
      </c>
      <c r="G80" s="5" t="n">
        <v>1889</v>
      </c>
      <c r="H80" s="8" t="n"/>
      <c r="I80" s="5">
        <f>SUMIF('جزئیات BOM'!$G$4:$G$607,A80,'جزئیات BOM'!$S$4:$S$607)</f>
        <v>2450</v>
      </c>
      <c r="J80" s="5">
        <f>SUMIF('جزئیات BOM'!$G$4:$G$607,A80,'جزئیات BOM'!$T$4:$T$607)</f>
        <v>2400</v>
      </c>
      <c r="K80" s="5">
        <f>ROUND(G80-I80,10)</f>
        <v>-561</v>
      </c>
      <c r="L80" s="5">
        <f>ROUNDUP(MAX(0,ROUND(J80-G80,10)),0)</f>
        <v>511</v>
      </c>
      <c r="M80" s="5" t="n">
        <v>2961</v>
      </c>
      <c r="N80" s="6" t="inlineStr">
        <is>
          <t>ثبت عددی</t>
        </is>
      </c>
      <c r="O80" s="6" t="inlineStr">
        <is>
          <t>عدد(شمارشی)</t>
        </is>
      </c>
      <c r="P80" s="6" t="inlineStr"/>
      <c r="Q80" s="9" t="n"/>
      <c r="R80" s="9" t="n"/>
    </row>
    <row r="81" ht="20" customHeight="1">
      <c r="A81" s="10" t="n">
        <v>1111042</v>
      </c>
      <c r="B81" s="11" t="inlineStr">
        <is>
          <t>IC TLE75602-ESD</t>
        </is>
      </c>
      <c r="C81" s="12">
        <f>ROUNDUP(MAX(0,ROUND(I81+J81-G81,10)),0)</f>
        <v>2950</v>
      </c>
      <c r="D81" s="8" t="n"/>
      <c r="E81" s="11" t="inlineStr">
        <is>
          <t>دارد</t>
        </is>
      </c>
      <c r="F81" s="11" t="inlineStr">
        <is>
          <t>2</t>
        </is>
      </c>
      <c r="G81" s="10" t="n">
        <v>0</v>
      </c>
      <c r="H81" s="8" t="n"/>
      <c r="I81" s="10">
        <f>SUMIF('جزئیات BOM'!$G$4:$G$607,A81,'جزئیات BOM'!$S$4:$S$607)</f>
        <v>1750</v>
      </c>
      <c r="J81" s="10">
        <f>SUMIF('جزئیات BOM'!$G$4:$G$607,A81,'جزئیات BOM'!$T$4:$T$607)</f>
        <v>1200</v>
      </c>
      <c r="K81" s="10">
        <f>ROUND(G81-I81,10)</f>
        <v>-1750</v>
      </c>
      <c r="L81" s="10">
        <f>ROUNDUP(MAX(0,ROUND(J81-G81,10)),0)</f>
        <v>1200</v>
      </c>
      <c r="M81" s="10" t="n">
        <v>0</v>
      </c>
      <c r="N81" s="11" t="inlineStr">
        <is>
          <t>ثبت عددی</t>
        </is>
      </c>
      <c r="O81" s="11" t="inlineStr">
        <is>
          <t>عدد</t>
        </is>
      </c>
      <c r="P81" s="11" t="inlineStr">
        <is>
          <t>سهم جایگزین طبق BOM؛ نیازمند تأیید</t>
        </is>
      </c>
      <c r="Q81" s="13" t="n"/>
      <c r="R81" s="13" t="n"/>
    </row>
    <row r="82" ht="20" customHeight="1">
      <c r="A82" s="5" t="n">
        <v>1111010</v>
      </c>
      <c r="B82" s="6" t="inlineStr">
        <is>
          <t>Crystal 8MHZ,10PPM,HC-49</t>
        </is>
      </c>
      <c r="C82" s="7">
        <f>ROUNDUP(MAX(0,ROUND(I82+J82-G82,10)),0)</f>
        <v>2802</v>
      </c>
      <c r="D82" s="8" t="n"/>
      <c r="E82" s="6" t="inlineStr">
        <is>
          <t>ندارد</t>
        </is>
      </c>
      <c r="F82" s="6" t="inlineStr">
        <is>
          <t>-</t>
        </is>
      </c>
      <c r="G82" s="5" t="n">
        <v>3348</v>
      </c>
      <c r="H82" s="8" t="n"/>
      <c r="I82" s="5">
        <f>SUMIF('جزئیات BOM'!$G$4:$G$607,A82,'جزئیات BOM'!$S$4:$S$607)</f>
        <v>3790</v>
      </c>
      <c r="J82" s="5">
        <f>SUMIF('جزئیات BOM'!$G$4:$G$607,A82,'جزئیات BOM'!$T$4:$T$607)</f>
        <v>2360</v>
      </c>
      <c r="K82" s="5">
        <f>ROUND(G82-I82,10)</f>
        <v>-442</v>
      </c>
      <c r="L82" s="5">
        <f>ROUNDUP(MAX(0,ROUND(J82-G82,10)),0)</f>
        <v>0</v>
      </c>
      <c r="M82" s="5" t="n">
        <v>2802</v>
      </c>
      <c r="N82" s="6" t="inlineStr">
        <is>
          <t>ثبت عددی</t>
        </is>
      </c>
      <c r="O82" s="6" t="inlineStr">
        <is>
          <t>عدد</t>
        </is>
      </c>
      <c r="P82" s="6" t="inlineStr"/>
      <c r="Q82" s="9" t="n"/>
      <c r="R82" s="9" t="n"/>
    </row>
    <row r="83" ht="20" customHeight="1">
      <c r="A83" s="10" t="n">
        <v>1110569</v>
      </c>
      <c r="B83" s="11" t="inlineStr">
        <is>
          <t>Capacitor 10N, X7R ,50V,10%</t>
        </is>
      </c>
      <c r="C83" s="12">
        <f>ROUNDUP(MAX(0,ROUND(I83+J83-G83,10)),0)</f>
        <v>2758</v>
      </c>
      <c r="D83" s="8" t="n"/>
      <c r="E83" s="11" t="inlineStr">
        <is>
          <t>ندارد</t>
        </is>
      </c>
      <c r="F83" s="11" t="inlineStr">
        <is>
          <t>-</t>
        </is>
      </c>
      <c r="G83" s="10" t="n">
        <v>111392</v>
      </c>
      <c r="H83" s="8" t="n"/>
      <c r="I83" s="10">
        <f>SUMIF('جزئیات BOM'!$G$4:$G$607,A83,'جزئیات BOM'!$S$4:$S$607)</f>
        <v>66150</v>
      </c>
      <c r="J83" s="10">
        <f>SUMIF('جزئیات BOM'!$G$4:$G$607,A83,'جزئیات BOM'!$T$4:$T$607)</f>
        <v>48000</v>
      </c>
      <c r="K83" s="10">
        <f>ROUND(G83-I83,10)</f>
        <v>45242</v>
      </c>
      <c r="L83" s="10">
        <f>ROUNDUP(MAX(0,ROUND(J83-G83,10)),0)</f>
        <v>0</v>
      </c>
      <c r="M83" s="10" t="n">
        <v>2758</v>
      </c>
      <c r="N83" s="11" t="inlineStr">
        <is>
          <t>ثبت عددی</t>
        </is>
      </c>
      <c r="O83" s="11" t="inlineStr">
        <is>
          <t>عدد(شمارشی)</t>
        </is>
      </c>
      <c r="P83" s="11" t="inlineStr"/>
      <c r="Q83" s="13" t="n"/>
      <c r="R83" s="13" t="n"/>
    </row>
    <row r="84" ht="20" customHeight="1">
      <c r="A84" s="5" t="n">
        <v>1110504</v>
      </c>
      <c r="B84" s="6" t="inlineStr">
        <is>
          <t>IC BTS7012-1EPA</t>
        </is>
      </c>
      <c r="C84" s="7">
        <f>ROUNDUP(MAX(0,ROUND(I84+J84-G84,10)),0)</f>
        <v>2690</v>
      </c>
      <c r="D84" s="8" t="n"/>
      <c r="E84" s="6" t="inlineStr">
        <is>
          <t>ندارد</t>
        </is>
      </c>
      <c r="F84" s="6" t="inlineStr">
        <is>
          <t>-</t>
        </is>
      </c>
      <c r="G84" s="5" t="n">
        <v>2630</v>
      </c>
      <c r="H84" s="8" t="n"/>
      <c r="I84" s="5">
        <f>SUMIF('جزئیات BOM'!$G$4:$G$607,A84,'جزئیات BOM'!$S$4:$S$607)</f>
        <v>2920</v>
      </c>
      <c r="J84" s="5">
        <f>SUMIF('جزئیات BOM'!$G$4:$G$607,A84,'جزئیات BOM'!$T$4:$T$607)</f>
        <v>2400</v>
      </c>
      <c r="K84" s="5">
        <f>ROUND(G84-I84,10)</f>
        <v>-290</v>
      </c>
      <c r="L84" s="5">
        <f>ROUNDUP(MAX(0,ROUND(J84-G84,10)),0)</f>
        <v>0</v>
      </c>
      <c r="M84" s="5" t="n">
        <v>2690</v>
      </c>
      <c r="N84" s="6" t="inlineStr">
        <is>
          <t>ثبت عددی</t>
        </is>
      </c>
      <c r="O84" s="6" t="inlineStr">
        <is>
          <t>عدد</t>
        </is>
      </c>
      <c r="P84" s="6" t="inlineStr"/>
      <c r="Q84" s="9" t="n"/>
      <c r="R84" s="9" t="n"/>
    </row>
    <row r="85" ht="20" customHeight="1">
      <c r="A85" s="10" t="n">
        <v>1201605</v>
      </c>
      <c r="B85" s="11" t="inlineStr">
        <is>
          <t>جعبه الکترونیکی مونتاژ ماشینی شده NBCM_DENA_SBR-(BOT)</t>
        </is>
      </c>
      <c r="C85" s="12">
        <f>ROUNDUP(MAX(0,ROUND(I85+J85-G85,10)),0)</f>
        <v>2660</v>
      </c>
      <c r="D85" s="8" t="n"/>
      <c r="E85" s="11" t="inlineStr">
        <is>
          <t>ندارد</t>
        </is>
      </c>
      <c r="F85" s="11" t="inlineStr">
        <is>
          <t>-</t>
        </is>
      </c>
      <c r="G85" s="10" t="n">
        <v>0</v>
      </c>
      <c r="H85" s="8" t="n"/>
      <c r="I85" s="10">
        <f>SUMIF('جزئیات BOM'!$G$4:$G$607,A85,'جزئیات BOM'!$S$4:$S$607)</f>
        <v>1460</v>
      </c>
      <c r="J85" s="10">
        <f>SUMIF('جزئیات BOM'!$G$4:$G$607,A85,'جزئیات BOM'!$T$4:$T$607)</f>
        <v>1200</v>
      </c>
      <c r="K85" s="10">
        <f>ROUND(G85-I85,10)</f>
        <v>-1460</v>
      </c>
      <c r="L85" s="10">
        <f>ROUNDUP(MAX(0,ROUND(J85-G85,10)),0)</f>
        <v>1200</v>
      </c>
      <c r="M85" s="10" t="n">
        <v>2660</v>
      </c>
      <c r="N85" s="11" t="inlineStr">
        <is>
          <t>ثبت عددی</t>
        </is>
      </c>
      <c r="O85" s="11" t="inlineStr">
        <is>
          <t>عدد(شمارشی)</t>
        </is>
      </c>
      <c r="P85" s="14" t="inlineStr">
        <is>
          <t>زیرمجموعه تولیدی؛ تکمیل برنامه آن تأیید نشده</t>
        </is>
      </c>
      <c r="Q85" s="10">
        <f>SUMIF('ورودی برنامه'!$A$4:$A$16,A85,'ورودی برنامه'!$D$4:$D$16)</f>
        <v>1460</v>
      </c>
      <c r="R85" s="10">
        <f>SUMIF('ورودی برنامه'!$A$4:$A$16,A85,'ورودی برنامه'!$E$4:$E$16)</f>
        <v>1200</v>
      </c>
    </row>
    <row r="86" ht="20" customHeight="1">
      <c r="A86" s="5" t="n">
        <v>1201654</v>
      </c>
      <c r="B86" s="6" t="inlineStr">
        <is>
          <t>BCMi/SBMi_P207_SOREN_ARISUN Bottom جعبه الکترونیکی مونتاژ ماشینی شده</t>
        </is>
      </c>
      <c r="C86" s="7">
        <f>ROUNDUP(MAX(0,ROUND(I86+J86-G86,10)),0)</f>
        <v>2500</v>
      </c>
      <c r="D86" s="8" t="n"/>
      <c r="E86" s="6" t="inlineStr">
        <is>
          <t>ندارد</t>
        </is>
      </c>
      <c r="F86" s="6" t="inlineStr">
        <is>
          <t>-</t>
        </is>
      </c>
      <c r="G86" s="5" t="n">
        <v>100</v>
      </c>
      <c r="H86" s="8" t="n"/>
      <c r="I86" s="5">
        <f>SUMIF('جزئیات BOM'!$G$4:$G$607,A86,'جزئیات BOM'!$S$4:$S$607)</f>
        <v>1400</v>
      </c>
      <c r="J86" s="5">
        <f>SUMIF('جزئیات BOM'!$G$4:$G$607,A86,'جزئیات BOM'!$T$4:$T$607)</f>
        <v>1200</v>
      </c>
      <c r="K86" s="5">
        <f>ROUND(G86-I86,10)</f>
        <v>-1300</v>
      </c>
      <c r="L86" s="5">
        <f>ROUNDUP(MAX(0,ROUND(J86-G86,10)),0)</f>
        <v>1100</v>
      </c>
      <c r="M86" s="5" t="n">
        <v>2500</v>
      </c>
      <c r="N86" s="6" t="inlineStr">
        <is>
          <t>ثبت عددی</t>
        </is>
      </c>
      <c r="O86" s="6" t="inlineStr">
        <is>
          <t>عدد(شمارشی)</t>
        </is>
      </c>
      <c r="P86" s="14" t="inlineStr">
        <is>
          <t>زیرمجموعه تولیدی؛ تکمیل برنامه آن تأیید نشده</t>
        </is>
      </c>
      <c r="Q86" s="5">
        <f>SUMIF('ورودی برنامه'!$A$4:$A$16,A86,'ورودی برنامه'!$D$4:$D$16)</f>
        <v>1750</v>
      </c>
      <c r="R86" s="5">
        <f>SUMIF('ورودی برنامه'!$A$4:$A$16,A86,'ورودی برنامه'!$E$4:$E$16)</f>
        <v>1200</v>
      </c>
    </row>
    <row r="87" ht="20" customHeight="1">
      <c r="A87" s="10" t="n">
        <v>1110772</v>
      </c>
      <c r="B87" s="11" t="inlineStr">
        <is>
          <t>Resistor 6.8 Ohms ±5%  0.125W, 1/8W</t>
        </is>
      </c>
      <c r="C87" s="12">
        <f>ROUNDUP(MAX(0,ROUND(I87+J87-G87,10)),0)</f>
        <v>2497</v>
      </c>
      <c r="D87" s="8" t="n"/>
      <c r="E87" s="11" t="inlineStr">
        <is>
          <t>ندارد</t>
        </is>
      </c>
      <c r="F87" s="11" t="inlineStr">
        <is>
          <t>-</t>
        </is>
      </c>
      <c r="G87" s="10" t="n">
        <v>7203</v>
      </c>
      <c r="H87" s="8" t="n"/>
      <c r="I87" s="10">
        <f>SUMIF('جزئیات BOM'!$G$4:$G$607,A87,'جزئیات BOM'!$S$4:$S$607)</f>
        <v>4900</v>
      </c>
      <c r="J87" s="10">
        <f>SUMIF('جزئیات BOM'!$G$4:$G$607,A87,'جزئیات BOM'!$T$4:$T$607)</f>
        <v>4800</v>
      </c>
      <c r="K87" s="10">
        <f>ROUND(G87-I87,10)</f>
        <v>2303</v>
      </c>
      <c r="L87" s="10">
        <f>ROUNDUP(MAX(0,ROUND(J87-G87,10)),0)</f>
        <v>0</v>
      </c>
      <c r="M87" s="10" t="n">
        <v>2497</v>
      </c>
      <c r="N87" s="11" t="inlineStr">
        <is>
          <t>ثبت عددی</t>
        </is>
      </c>
      <c r="O87" s="11" t="inlineStr">
        <is>
          <t>عدد(شمارشی)</t>
        </is>
      </c>
      <c r="P87" s="11" t="inlineStr"/>
      <c r="Q87" s="13" t="n"/>
      <c r="R87" s="13" t="n"/>
    </row>
    <row r="88" ht="20" customHeight="1">
      <c r="A88" s="5" t="n">
        <v>1110454</v>
      </c>
      <c r="B88" s="6" t="inlineStr">
        <is>
          <t>IC CAN tranceiver TJA1040T</t>
        </is>
      </c>
      <c r="C88" s="7">
        <f>ROUNDUP(MAX(0,ROUND(I88+J88-G88,10)),0)</f>
        <v>2425</v>
      </c>
      <c r="D88" s="8" t="n"/>
      <c r="E88" s="6" t="inlineStr">
        <is>
          <t>دارد</t>
        </is>
      </c>
      <c r="F88" s="6" t="inlineStr">
        <is>
          <t>1</t>
        </is>
      </c>
      <c r="G88" s="5" t="n">
        <v>0</v>
      </c>
      <c r="H88" s="8" t="n"/>
      <c r="I88" s="5">
        <f>SUMIF('جزئیات BOM'!$G$4:$G$607,A88,'جزئیات BOM'!$S$4:$S$607)</f>
        <v>1225</v>
      </c>
      <c r="J88" s="5">
        <f>SUMIF('جزئیات BOM'!$G$4:$G$607,A88,'جزئیات BOM'!$T$4:$T$607)</f>
        <v>1200</v>
      </c>
      <c r="K88" s="5">
        <f>ROUND(G88-I88,10)</f>
        <v>-1225</v>
      </c>
      <c r="L88" s="5">
        <f>ROUNDUP(MAX(0,ROUND(J88-G88,10)),0)</f>
        <v>1200</v>
      </c>
      <c r="M88" s="5" t="n">
        <v>0</v>
      </c>
      <c r="N88" s="6" t="inlineStr">
        <is>
          <t>ثبت عددی</t>
        </is>
      </c>
      <c r="O88" s="6" t="inlineStr">
        <is>
          <t>عدد</t>
        </is>
      </c>
      <c r="P88" s="6" t="inlineStr">
        <is>
          <t>سهم جایگزین طبق BOM؛ نیازمند تأیید</t>
        </is>
      </c>
      <c r="Q88" s="9" t="n"/>
      <c r="R88" s="9" t="n"/>
    </row>
    <row r="89" ht="20" customHeight="1">
      <c r="A89" s="10" t="n">
        <v>1110910</v>
      </c>
      <c r="B89" s="11" t="inlineStr">
        <is>
          <t>Diode BAV70</t>
        </is>
      </c>
      <c r="C89" s="12">
        <f>ROUNDUP(MAX(0,ROUND(I89+J89-G89,10)),0)</f>
        <v>2246</v>
      </c>
      <c r="D89" s="8" t="n"/>
      <c r="E89" s="11" t="inlineStr">
        <is>
          <t>ندارد</t>
        </is>
      </c>
      <c r="F89" s="11" t="inlineStr">
        <is>
          <t>-</t>
        </is>
      </c>
      <c r="G89" s="10" t="n">
        <v>7354</v>
      </c>
      <c r="H89" s="8" t="n"/>
      <c r="I89" s="10">
        <f>SUMIF('جزئیات BOM'!$G$4:$G$607,A89,'جزئیات BOM'!$S$4:$S$607)</f>
        <v>3600</v>
      </c>
      <c r="J89" s="10">
        <f>SUMIF('جزئیات BOM'!$G$4:$G$607,A89,'جزئیات BOM'!$T$4:$T$607)</f>
        <v>6000</v>
      </c>
      <c r="K89" s="10">
        <f>ROUND(G89-I89,10)</f>
        <v>3754</v>
      </c>
      <c r="L89" s="10">
        <f>ROUNDUP(MAX(0,ROUND(J89-G89,10)),0)</f>
        <v>0</v>
      </c>
      <c r="M89" s="10" t="n">
        <v>2246</v>
      </c>
      <c r="N89" s="11" t="inlineStr">
        <is>
          <t>ثبت عددی</t>
        </is>
      </c>
      <c r="O89" s="11" t="inlineStr">
        <is>
          <t>عدد</t>
        </is>
      </c>
      <c r="P89" s="11" t="inlineStr"/>
      <c r="Q89" s="13" t="n"/>
      <c r="R89" s="13" t="n"/>
    </row>
    <row r="90" ht="20" customHeight="1">
      <c r="A90" s="5" t="n">
        <v>1110409</v>
      </c>
      <c r="B90" s="6" t="inlineStr">
        <is>
          <t>IC  OpAmp LM2904YDT</t>
        </is>
      </c>
      <c r="C90" s="7">
        <f>ROUNDUP(MAX(0,ROUND(I90+J90-G90,10)),0)</f>
        <v>2157</v>
      </c>
      <c r="D90" s="8" t="n"/>
      <c r="E90" s="6" t="inlineStr">
        <is>
          <t>ندارد</t>
        </is>
      </c>
      <c r="F90" s="6" t="inlineStr">
        <is>
          <t>-</t>
        </is>
      </c>
      <c r="G90" s="5" t="n">
        <v>3163</v>
      </c>
      <c r="H90" s="8" t="n"/>
      <c r="I90" s="5">
        <f>SUMIF('جزئیات BOM'!$G$4:$G$607,A90,'جزئیات BOM'!$S$4:$S$607)</f>
        <v>2920</v>
      </c>
      <c r="J90" s="5">
        <f>SUMIF('جزئیات BOM'!$G$4:$G$607,A90,'جزئیات BOM'!$T$4:$T$607)</f>
        <v>2400</v>
      </c>
      <c r="K90" s="5">
        <f>ROUND(G90-I90,10)</f>
        <v>243</v>
      </c>
      <c r="L90" s="5">
        <f>ROUNDUP(MAX(0,ROUND(J90-G90,10)),0)</f>
        <v>0</v>
      </c>
      <c r="M90" s="5" t="n">
        <v>2157</v>
      </c>
      <c r="N90" s="6" t="inlineStr">
        <is>
          <t>ثبت عددی</t>
        </is>
      </c>
      <c r="O90" s="6" t="inlineStr">
        <is>
          <t>عدد</t>
        </is>
      </c>
      <c r="P90" s="6" t="inlineStr"/>
      <c r="Q90" s="9" t="n"/>
      <c r="R90" s="9" t="n"/>
    </row>
    <row r="91" ht="20" customHeight="1">
      <c r="A91" s="10" t="n">
        <v>1111016</v>
      </c>
      <c r="B91" s="11" t="inlineStr">
        <is>
          <t>IC TLE7259-3GE</t>
        </is>
      </c>
      <c r="C91" s="12">
        <f>ROUNDUP(MAX(0,ROUND(I91+J91-G91,10)),0)</f>
        <v>2134</v>
      </c>
      <c r="D91" s="8" t="n"/>
      <c r="E91" s="11" t="inlineStr">
        <is>
          <t>ندارد</t>
        </is>
      </c>
      <c r="F91" s="11" t="inlineStr">
        <is>
          <t>-</t>
        </is>
      </c>
      <c r="G91" s="10" t="n">
        <v>6386</v>
      </c>
      <c r="H91" s="8" t="n"/>
      <c r="I91" s="10">
        <f>SUMIF('جزئیات BOM'!$G$4:$G$607,A91,'جزئیات BOM'!$S$4:$S$607)</f>
        <v>4120</v>
      </c>
      <c r="J91" s="10">
        <f>SUMIF('جزئیات BOM'!$G$4:$G$607,A91,'جزئیات BOM'!$T$4:$T$607)</f>
        <v>4400</v>
      </c>
      <c r="K91" s="10">
        <f>ROUND(G91-I91,10)</f>
        <v>2266</v>
      </c>
      <c r="L91" s="10">
        <f>ROUNDUP(MAX(0,ROUND(J91-G91,10)),0)</f>
        <v>0</v>
      </c>
      <c r="M91" s="10" t="n">
        <v>2134</v>
      </c>
      <c r="N91" s="11" t="inlineStr">
        <is>
          <t>ثبت عددی</t>
        </is>
      </c>
      <c r="O91" s="11" t="inlineStr">
        <is>
          <t>عدد</t>
        </is>
      </c>
      <c r="P91" s="11" t="inlineStr"/>
      <c r="Q91" s="13" t="n"/>
      <c r="R91" s="13" t="n"/>
    </row>
    <row r="92" ht="20" customHeight="1">
      <c r="A92" s="5" t="n">
        <v>1101030</v>
      </c>
      <c r="B92" s="6" t="inlineStr">
        <is>
          <t>Resistor 33K,1%,1/10W</t>
        </is>
      </c>
      <c r="C92" s="7">
        <f>ROUNDUP(MAX(0,ROUND(I92+J92-G92,10)),0)</f>
        <v>2089</v>
      </c>
      <c r="D92" s="8" t="n"/>
      <c r="E92" s="6" t="inlineStr">
        <is>
          <t>ندارد</t>
        </is>
      </c>
      <c r="F92" s="6" t="inlineStr">
        <is>
          <t>-</t>
        </is>
      </c>
      <c r="G92" s="5" t="n">
        <v>7511</v>
      </c>
      <c r="H92" s="8" t="n"/>
      <c r="I92" s="5">
        <f>SUMIF('جزئیات BOM'!$G$4:$G$607,A92,'جزئیات BOM'!$S$4:$S$607)</f>
        <v>3600</v>
      </c>
      <c r="J92" s="5">
        <f>SUMIF('جزئیات BOM'!$G$4:$G$607,A92,'جزئیات BOM'!$T$4:$T$607)</f>
        <v>6000</v>
      </c>
      <c r="K92" s="5">
        <f>ROUND(G92-I92,10)</f>
        <v>3911</v>
      </c>
      <c r="L92" s="5">
        <f>ROUNDUP(MAX(0,ROUND(J92-G92,10)),0)</f>
        <v>0</v>
      </c>
      <c r="M92" s="5" t="n">
        <v>2089</v>
      </c>
      <c r="N92" s="6" t="inlineStr">
        <is>
          <t>ثبت عددی</t>
        </is>
      </c>
      <c r="O92" s="6" t="inlineStr">
        <is>
          <t>عدد</t>
        </is>
      </c>
      <c r="P92" s="6" t="inlineStr"/>
      <c r="Q92" s="9" t="n"/>
      <c r="R92" s="9" t="n"/>
    </row>
    <row r="93" ht="20" customHeight="1">
      <c r="A93" s="10" t="n">
        <v>1110456</v>
      </c>
      <c r="B93" s="11" t="inlineStr">
        <is>
          <t>IC CAN Transceiver TJA1055T</t>
        </is>
      </c>
      <c r="C93" s="12">
        <f>ROUNDUP(MAX(0,ROUND(I93+J93-G93,10)),0)</f>
        <v>2050</v>
      </c>
      <c r="D93" s="8" t="n"/>
      <c r="E93" s="11" t="inlineStr">
        <is>
          <t>ندارد</t>
        </is>
      </c>
      <c r="F93" s="11" t="inlineStr">
        <is>
          <t>-</t>
        </is>
      </c>
      <c r="G93" s="10" t="n">
        <v>4100</v>
      </c>
      <c r="H93" s="8" t="n"/>
      <c r="I93" s="10">
        <f>SUMIF('جزئیات BOM'!$G$4:$G$607,A93,'جزئیات BOM'!$S$4:$S$607)</f>
        <v>3790</v>
      </c>
      <c r="J93" s="10">
        <f>SUMIF('جزئیات BOM'!$G$4:$G$607,A93,'جزئیات BOM'!$T$4:$T$607)</f>
        <v>2360</v>
      </c>
      <c r="K93" s="10">
        <f>ROUND(G93-I93,10)</f>
        <v>310</v>
      </c>
      <c r="L93" s="10">
        <f>ROUNDUP(MAX(0,ROUND(J93-G93,10)),0)</f>
        <v>0</v>
      </c>
      <c r="M93" s="10" t="n">
        <v>2050</v>
      </c>
      <c r="N93" s="11" t="inlineStr">
        <is>
          <t>ثبت عددی</t>
        </is>
      </c>
      <c r="O93" s="11" t="inlineStr">
        <is>
          <t>عدد</t>
        </is>
      </c>
      <c r="P93" s="11" t="inlineStr"/>
      <c r="Q93" s="13" t="n"/>
      <c r="R93" s="13" t="n"/>
    </row>
    <row r="94" ht="20" customHeight="1">
      <c r="A94" s="5" t="n">
        <v>1100464</v>
      </c>
      <c r="B94" s="6" t="inlineStr">
        <is>
          <t>PCB NBCM_F1L176_C3</t>
        </is>
      </c>
      <c r="C94" s="7">
        <f>ROUNDUP(MAX(0,ROUND(I94+J94-G94,10)),0)</f>
        <v>2030</v>
      </c>
      <c r="D94" s="8" t="n"/>
      <c r="E94" s="6" t="inlineStr">
        <is>
          <t>ندارد</t>
        </is>
      </c>
      <c r="F94" s="6" t="inlineStr">
        <is>
          <t>-</t>
        </is>
      </c>
      <c r="G94" s="5" t="n">
        <v>630</v>
      </c>
      <c r="H94" s="8" t="n"/>
      <c r="I94" s="5">
        <f>SUMIF('جزئیات BOM'!$G$4:$G$607,A94,'جزئیات BOM'!$S$4:$S$607)</f>
        <v>1460</v>
      </c>
      <c r="J94" s="5">
        <f>SUMIF('جزئیات BOM'!$G$4:$G$607,A94,'جزئیات BOM'!$T$4:$T$607)</f>
        <v>1200</v>
      </c>
      <c r="K94" s="5">
        <f>ROUND(G94-I94,10)</f>
        <v>-830</v>
      </c>
      <c r="L94" s="5">
        <f>ROUNDUP(MAX(0,ROUND(J94-G94,10)),0)</f>
        <v>570</v>
      </c>
      <c r="M94" s="5" t="n">
        <v>2030</v>
      </c>
      <c r="N94" s="6" t="inlineStr">
        <is>
          <t>ثبت عددی</t>
        </is>
      </c>
      <c r="O94" s="6" t="inlineStr">
        <is>
          <t>عدد(شمارشی)</t>
        </is>
      </c>
      <c r="P94" s="6" t="inlineStr"/>
      <c r="Q94" s="9" t="n"/>
      <c r="R94" s="9" t="n"/>
    </row>
    <row r="95" ht="20" customHeight="1">
      <c r="A95" s="10" t="n">
        <v>1110649</v>
      </c>
      <c r="B95" s="11" t="inlineStr">
        <is>
          <t>DIODE ESD protection PESD1CAN</t>
        </is>
      </c>
      <c r="C95" s="12">
        <f>ROUNDUP(MAX(0,ROUND(I95+J95-G95,10)),0)</f>
        <v>2007</v>
      </c>
      <c r="D95" s="8" t="n"/>
      <c r="E95" s="11" t="inlineStr">
        <is>
          <t>ندارد</t>
        </is>
      </c>
      <c r="F95" s="11" t="inlineStr">
        <is>
          <t>-</t>
        </is>
      </c>
      <c r="G95" s="10" t="n">
        <v>2843</v>
      </c>
      <c r="H95" s="8" t="n"/>
      <c r="I95" s="10">
        <f>SUMIF('جزئیات BOM'!$G$4:$G$607,A95,'جزئیات BOM'!$S$4:$S$607)</f>
        <v>2450</v>
      </c>
      <c r="J95" s="10">
        <f>SUMIF('جزئیات BOM'!$G$4:$G$607,A95,'جزئیات BOM'!$T$4:$T$607)</f>
        <v>2400</v>
      </c>
      <c r="K95" s="10">
        <f>ROUND(G95-I95,10)</f>
        <v>393</v>
      </c>
      <c r="L95" s="10">
        <f>ROUNDUP(MAX(0,ROUND(J95-G95,10)),0)</f>
        <v>0</v>
      </c>
      <c r="M95" s="10" t="n">
        <v>2007</v>
      </c>
      <c r="N95" s="11" t="inlineStr">
        <is>
          <t>ثبت عددی</t>
        </is>
      </c>
      <c r="O95" s="11" t="inlineStr">
        <is>
          <t>عدد(شمارشی)</t>
        </is>
      </c>
      <c r="P95" s="11" t="inlineStr"/>
      <c r="Q95" s="13" t="n"/>
      <c r="R95" s="13" t="n"/>
    </row>
    <row r="96" ht="20" customHeight="1">
      <c r="A96" s="5" t="n">
        <v>1110274</v>
      </c>
      <c r="B96" s="6" t="inlineStr">
        <is>
          <t>Resistor 0 ,5%,1/10W</t>
        </is>
      </c>
      <c r="C96" s="7">
        <f>ROUNDUP(MAX(0,ROUND(I96+J96-G96,10)),0)</f>
        <v>1745</v>
      </c>
      <c r="D96" s="8" t="n"/>
      <c r="E96" s="6" t="inlineStr">
        <is>
          <t>دارد</t>
        </is>
      </c>
      <c r="F96" s="6" t="inlineStr">
        <is>
          <t>1</t>
        </is>
      </c>
      <c r="G96" s="5" t="n">
        <v>19615</v>
      </c>
      <c r="H96" s="8" t="n"/>
      <c r="I96" s="5">
        <f>SUMIF('جزئیات BOM'!$G$4:$G$607,A96,'جزئیات BOM'!$S$4:$S$607)</f>
        <v>12360</v>
      </c>
      <c r="J96" s="5">
        <f>SUMIF('جزئیات BOM'!$G$4:$G$607,A96,'جزئیات BOM'!$T$4:$T$607)</f>
        <v>9000</v>
      </c>
      <c r="K96" s="5">
        <f>ROUND(G96-I96,10)</f>
        <v>7255</v>
      </c>
      <c r="L96" s="5">
        <f>ROUNDUP(MAX(0,ROUND(J96-G96,10)),0)</f>
        <v>0</v>
      </c>
      <c r="M96" s="5" t="n">
        <v>21605</v>
      </c>
      <c r="N96" s="6" t="inlineStr">
        <is>
          <t>ثبت عددی</t>
        </is>
      </c>
      <c r="O96" s="6" t="inlineStr">
        <is>
          <t>عدد</t>
        </is>
      </c>
      <c r="P96" s="6" t="inlineStr">
        <is>
          <t>سهم جایگزین طبق BOM؛ نیازمند تأیید</t>
        </is>
      </c>
      <c r="Q96" s="9" t="n"/>
      <c r="R96" s="9" t="n"/>
    </row>
    <row r="97" ht="20" customHeight="1">
      <c r="A97" s="10" t="n">
        <v>1110293</v>
      </c>
      <c r="B97" s="11" t="inlineStr">
        <is>
          <t>Resistor 2.2K,1%,1/4W</t>
        </is>
      </c>
      <c r="C97" s="12">
        <f>ROUNDUP(MAX(0,ROUND(I97+J97-G97,10)),0)</f>
        <v>1745</v>
      </c>
      <c r="D97" s="8" t="n"/>
      <c r="E97" s="11" t="inlineStr">
        <is>
          <t>دارد</t>
        </is>
      </c>
      <c r="F97" s="11" t="inlineStr">
        <is>
          <t>2</t>
        </is>
      </c>
      <c r="G97" s="10" t="n">
        <v>0</v>
      </c>
      <c r="H97" s="8" t="n"/>
      <c r="I97" s="10">
        <f>SUMIF('جزئیات BOM'!$G$4:$G$607,A97,'جزئیات BOM'!$S$4:$S$607)</f>
        <v>1165</v>
      </c>
      <c r="J97" s="10">
        <f>SUMIF('جزئیات BOM'!$G$4:$G$607,A97,'جزئیات BOM'!$T$4:$T$607)</f>
        <v>580</v>
      </c>
      <c r="K97" s="10">
        <f>ROUND(G97-I97,10)</f>
        <v>-1165</v>
      </c>
      <c r="L97" s="10">
        <f>ROUNDUP(MAX(0,ROUND(J97-G97,10)),0)</f>
        <v>580</v>
      </c>
      <c r="M97" s="10" t="n">
        <v>0</v>
      </c>
      <c r="N97" s="11" t="inlineStr">
        <is>
          <t>ثبت عددی</t>
        </is>
      </c>
      <c r="O97" s="11" t="inlineStr">
        <is>
          <t>عدد</t>
        </is>
      </c>
      <c r="P97" s="11" t="inlineStr">
        <is>
          <t>سهم جایگزین طبق BOM؛ نیازمند تأیید</t>
        </is>
      </c>
      <c r="Q97" s="13" t="n"/>
      <c r="R97" s="13" t="n"/>
    </row>
    <row r="98" ht="20" customHeight="1">
      <c r="A98" s="5" t="n">
        <v>1110465</v>
      </c>
      <c r="B98" s="6" t="inlineStr">
        <is>
          <t>IC NCV4275ADT50RKG</t>
        </is>
      </c>
      <c r="C98" s="7">
        <f>ROUNDUP(MAX(0,ROUND(I98+J98-G98,10)),0)</f>
        <v>1745</v>
      </c>
      <c r="D98" s="8" t="n"/>
      <c r="E98" s="6" t="inlineStr">
        <is>
          <t>دارد</t>
        </is>
      </c>
      <c r="F98" s="6" t="inlineStr">
        <is>
          <t>2</t>
        </is>
      </c>
      <c r="G98" s="5" t="n">
        <v>0</v>
      </c>
      <c r="H98" s="8" t="n"/>
      <c r="I98" s="5">
        <f>SUMIF('جزئیات BOM'!$G$4:$G$607,A98,'جزئیات BOM'!$S$4:$S$607)</f>
        <v>1165</v>
      </c>
      <c r="J98" s="5">
        <f>SUMIF('جزئیات BOM'!$G$4:$G$607,A98,'جزئیات BOM'!$T$4:$T$607)</f>
        <v>580</v>
      </c>
      <c r="K98" s="5">
        <f>ROUND(G98-I98,10)</f>
        <v>-1165</v>
      </c>
      <c r="L98" s="5">
        <f>ROUNDUP(MAX(0,ROUND(J98-G98,10)),0)</f>
        <v>580</v>
      </c>
      <c r="M98" s="5" t="n">
        <v>0</v>
      </c>
      <c r="N98" s="14" t="inlineStr">
        <is>
          <t>خالی در فایل؛ فرض صفر</t>
        </is>
      </c>
      <c r="O98" s="6" t="inlineStr">
        <is>
          <t>عدد</t>
        </is>
      </c>
      <c r="P98" s="6" t="inlineStr">
        <is>
          <t>سهم جایگزین طبق BOM؛ نیازمند تأیید | موجودی نامشخص؛ صفر فرض شده</t>
        </is>
      </c>
      <c r="Q98" s="9" t="n"/>
      <c r="R98" s="9" t="n"/>
    </row>
    <row r="99" ht="20" customHeight="1">
      <c r="A99" s="10" t="n">
        <v>1110754</v>
      </c>
      <c r="B99" s="11" t="inlineStr">
        <is>
          <t>Resistor 1R, 1%, 1/4W</t>
        </is>
      </c>
      <c r="C99" s="12">
        <f>ROUNDUP(MAX(0,ROUND(I99+J99-G99,10)),0)</f>
        <v>1681</v>
      </c>
      <c r="D99" s="8" t="n"/>
      <c r="E99" s="11" t="inlineStr">
        <is>
          <t>ندارد</t>
        </is>
      </c>
      <c r="F99" s="11" t="inlineStr">
        <is>
          <t>-</t>
        </is>
      </c>
      <c r="G99" s="10" t="n">
        <v>6239</v>
      </c>
      <c r="H99" s="8" t="n"/>
      <c r="I99" s="10">
        <f>SUMIF('جزئیات BOM'!$G$4:$G$607,A99,'جزئیات BOM'!$S$4:$S$607)</f>
        <v>4320</v>
      </c>
      <c r="J99" s="10">
        <f>SUMIF('جزئیات BOM'!$G$4:$G$607,A99,'جزئیات BOM'!$T$4:$T$607)</f>
        <v>3600</v>
      </c>
      <c r="K99" s="10">
        <f>ROUND(G99-I99,10)</f>
        <v>1919</v>
      </c>
      <c r="L99" s="10">
        <f>ROUNDUP(MAX(0,ROUND(J99-G99,10)),0)</f>
        <v>0</v>
      </c>
      <c r="M99" s="10" t="n">
        <v>1681</v>
      </c>
      <c r="N99" s="11" t="inlineStr">
        <is>
          <t>ثبت عددی</t>
        </is>
      </c>
      <c r="O99" s="11" t="inlineStr">
        <is>
          <t>عدد</t>
        </is>
      </c>
      <c r="P99" s="11" t="inlineStr"/>
      <c r="Q99" s="13" t="n"/>
      <c r="R99" s="13" t="n"/>
    </row>
    <row r="100" ht="20" customHeight="1">
      <c r="A100" s="5" t="n">
        <v>1111066</v>
      </c>
      <c r="B100" s="6" t="inlineStr">
        <is>
          <t>IC Interface TIC10024QDCPRQ1</t>
        </is>
      </c>
      <c r="C100" s="7">
        <f>ROUNDUP(MAX(0,ROUND(I100+J100-G100,10)),0)</f>
        <v>1605</v>
      </c>
      <c r="D100" s="8" t="n"/>
      <c r="E100" s="6" t="inlineStr">
        <is>
          <t>ندارد</t>
        </is>
      </c>
      <c r="F100" s="6" t="inlineStr">
        <is>
          <t>-</t>
        </is>
      </c>
      <c r="G100" s="5" t="n">
        <v>1345</v>
      </c>
      <c r="H100" s="8" t="n"/>
      <c r="I100" s="5">
        <f>SUMIF('جزئیات BOM'!$G$4:$G$607,A100,'جزئیات BOM'!$S$4:$S$607)</f>
        <v>1750</v>
      </c>
      <c r="J100" s="5">
        <f>SUMIF('جزئیات BOM'!$G$4:$G$607,A100,'جزئیات BOM'!$T$4:$T$607)</f>
        <v>1200</v>
      </c>
      <c r="K100" s="5">
        <f>ROUND(G100-I100,10)</f>
        <v>-405</v>
      </c>
      <c r="L100" s="5">
        <f>ROUNDUP(MAX(0,ROUND(J100-G100,10)),0)</f>
        <v>0</v>
      </c>
      <c r="M100" s="5" t="n">
        <v>1605</v>
      </c>
      <c r="N100" s="6" t="inlineStr">
        <is>
          <t>ثبت عددی</t>
        </is>
      </c>
      <c r="O100" s="6" t="inlineStr">
        <is>
          <t>عدد(شمارشی)</t>
        </is>
      </c>
      <c r="P100" s="6" t="inlineStr"/>
      <c r="Q100" s="9" t="n"/>
      <c r="R100" s="9" t="n"/>
    </row>
    <row r="101" ht="20" customHeight="1">
      <c r="A101" s="10" t="n">
        <v>1110096</v>
      </c>
      <c r="B101" s="11" t="inlineStr">
        <is>
          <t>Capacitor 4.7uF,X7R,50V,10%</t>
        </is>
      </c>
      <c r="C101" s="12">
        <f>ROUNDUP(MAX(0,ROUND(I101+J101-G101,10)),0)</f>
        <v>1522</v>
      </c>
      <c r="D101" s="8" t="n"/>
      <c r="E101" s="11" t="inlineStr">
        <is>
          <t>ندارد</t>
        </is>
      </c>
      <c r="F101" s="11" t="inlineStr">
        <is>
          <t>-</t>
        </is>
      </c>
      <c r="G101" s="10" t="n">
        <v>1138</v>
      </c>
      <c r="H101" s="8" t="n"/>
      <c r="I101" s="10">
        <f>SUMIF('جزئیات BOM'!$G$4:$G$607,A101,'جزئیات BOM'!$S$4:$S$607)</f>
        <v>1460</v>
      </c>
      <c r="J101" s="10">
        <f>SUMIF('جزئیات BOM'!$G$4:$G$607,A101,'جزئیات BOM'!$T$4:$T$607)</f>
        <v>1200</v>
      </c>
      <c r="K101" s="10">
        <f>ROUND(G101-I101,10)</f>
        <v>-322</v>
      </c>
      <c r="L101" s="10">
        <f>ROUNDUP(MAX(0,ROUND(J101-G101,10)),0)</f>
        <v>62</v>
      </c>
      <c r="M101" s="10" t="n">
        <v>1522</v>
      </c>
      <c r="N101" s="11" t="inlineStr">
        <is>
          <t>ثبت عددی</t>
        </is>
      </c>
      <c r="O101" s="11" t="inlineStr">
        <is>
          <t>عدد</t>
        </is>
      </c>
      <c r="P101" s="11" t="inlineStr"/>
      <c r="Q101" s="13" t="n"/>
      <c r="R101" s="13" t="n"/>
    </row>
    <row r="102" ht="20" customHeight="1">
      <c r="A102" s="5" t="n">
        <v>1110245</v>
      </c>
      <c r="B102" s="6" t="inlineStr">
        <is>
          <t>Resistor 470,1%,1/4w</t>
        </is>
      </c>
      <c r="C102" s="7">
        <f>ROUNDUP(MAX(0,ROUND(I102+J102-G102,10)),0)</f>
        <v>1515</v>
      </c>
      <c r="D102" s="8" t="n"/>
      <c r="E102" s="6" t="inlineStr">
        <is>
          <t>دارد</t>
        </is>
      </c>
      <c r="F102" s="6" t="inlineStr">
        <is>
          <t>2</t>
        </is>
      </c>
      <c r="G102" s="5" t="n">
        <v>0</v>
      </c>
      <c r="H102" s="8" t="n"/>
      <c r="I102" s="5">
        <f>SUMIF('جزئیات BOM'!$G$4:$G$607,A102,'جزئیات BOM'!$S$4:$S$607)</f>
        <v>1155</v>
      </c>
      <c r="J102" s="5">
        <f>SUMIF('جزئیات BOM'!$G$4:$G$607,A102,'جزئیات BOM'!$T$4:$T$607)</f>
        <v>360</v>
      </c>
      <c r="K102" s="5">
        <f>ROUND(G102-I102,10)</f>
        <v>-1155</v>
      </c>
      <c r="L102" s="5">
        <f>ROUNDUP(MAX(0,ROUND(J102-G102,10)),0)</f>
        <v>360</v>
      </c>
      <c r="M102" s="5" t="n">
        <v>0</v>
      </c>
      <c r="N102" s="6" t="inlineStr">
        <is>
          <t>ثبت عددی</t>
        </is>
      </c>
      <c r="O102" s="6" t="inlineStr">
        <is>
          <t>عدد</t>
        </is>
      </c>
      <c r="P102" s="6" t="inlineStr">
        <is>
          <t>سهم جایگزین طبق BOM؛ نیازمند تأیید</t>
        </is>
      </c>
      <c r="Q102" s="9" t="n"/>
      <c r="R102" s="9" t="n"/>
    </row>
    <row r="103" ht="20" customHeight="1">
      <c r="A103" s="10" t="n">
        <v>1100468</v>
      </c>
      <c r="B103" s="11" t="inlineStr">
        <is>
          <t>PCB SBMi</t>
        </is>
      </c>
      <c r="C103" s="12">
        <f>ROUNDUP(MAX(0,ROUND(I103+J103-G103,10)),0)</f>
        <v>1503</v>
      </c>
      <c r="D103" s="8" t="n"/>
      <c r="E103" s="11" t="inlineStr">
        <is>
          <t>ندارد</t>
        </is>
      </c>
      <c r="F103" s="11" t="inlineStr">
        <is>
          <t>-</t>
        </is>
      </c>
      <c r="G103" s="10" t="n">
        <v>1447</v>
      </c>
      <c r="H103" s="8" t="n"/>
      <c r="I103" s="10">
        <f>SUMIF('جزئیات BOM'!$G$4:$G$607,A103,'جزئیات BOM'!$S$4:$S$607)</f>
        <v>1750</v>
      </c>
      <c r="J103" s="10">
        <f>SUMIF('جزئیات BOM'!$G$4:$G$607,A103,'جزئیات BOM'!$T$4:$T$607)</f>
        <v>1200</v>
      </c>
      <c r="K103" s="10">
        <f>ROUND(G103-I103,10)</f>
        <v>-303</v>
      </c>
      <c r="L103" s="10">
        <f>ROUNDUP(MAX(0,ROUND(J103-G103,10)),0)</f>
        <v>0</v>
      </c>
      <c r="M103" s="10" t="n">
        <v>1503</v>
      </c>
      <c r="N103" s="11" t="inlineStr">
        <is>
          <t>ثبت عددی</t>
        </is>
      </c>
      <c r="O103" s="11" t="inlineStr">
        <is>
          <t>عدد(شمارشی)</t>
        </is>
      </c>
      <c r="P103" s="11" t="inlineStr"/>
      <c r="Q103" s="13" t="n"/>
      <c r="R103" s="13" t="n"/>
    </row>
    <row r="104" ht="20" customHeight="1">
      <c r="A104" s="5" t="n">
        <v>1110568</v>
      </c>
      <c r="B104" s="6" t="inlineStr">
        <is>
          <t>Capacitor 2.7nF ±10% 25V X8R</t>
        </is>
      </c>
      <c r="C104" s="7">
        <f>ROUNDUP(MAX(0,ROUND(I104+J104-G104,10)),0)</f>
        <v>1345</v>
      </c>
      <c r="D104" s="8" t="n"/>
      <c r="E104" s="6" t="inlineStr">
        <is>
          <t>ندارد</t>
        </is>
      </c>
      <c r="F104" s="6" t="inlineStr">
        <is>
          <t>-</t>
        </is>
      </c>
      <c r="G104" s="5" t="n">
        <v>3505</v>
      </c>
      <c r="H104" s="8" t="n"/>
      <c r="I104" s="5">
        <f>SUMIF('جزئیات BOM'!$G$4:$G$607,A104,'جزئیات BOM'!$S$4:$S$607)</f>
        <v>2450</v>
      </c>
      <c r="J104" s="5">
        <f>SUMIF('جزئیات BOM'!$G$4:$G$607,A104,'جزئیات BOM'!$T$4:$T$607)</f>
        <v>2400</v>
      </c>
      <c r="K104" s="5">
        <f>ROUND(G104-I104,10)</f>
        <v>1055</v>
      </c>
      <c r="L104" s="5">
        <f>ROUNDUP(MAX(0,ROUND(J104-G104,10)),0)</f>
        <v>0</v>
      </c>
      <c r="M104" s="5" t="n">
        <v>1345</v>
      </c>
      <c r="N104" s="6" t="inlineStr">
        <is>
          <t>ثبت عددی</t>
        </is>
      </c>
      <c r="O104" s="6" t="inlineStr">
        <is>
          <t>عدد(شمارشی)</t>
        </is>
      </c>
      <c r="P104" s="6" t="inlineStr"/>
      <c r="Q104" s="9" t="n"/>
      <c r="R104" s="9" t="n"/>
    </row>
    <row r="105" ht="20" customHeight="1">
      <c r="A105" s="10" t="n">
        <v>1110753</v>
      </c>
      <c r="B105" s="11" t="inlineStr">
        <is>
          <t>Resistor 16.5 Ohms ±1% 0.25W, 1/4W</t>
        </is>
      </c>
      <c r="C105" s="12">
        <f>ROUNDUP(MAX(0,ROUND(I105+J105-G105,10)),0)</f>
        <v>1345</v>
      </c>
      <c r="D105" s="8" t="n"/>
      <c r="E105" s="11" t="inlineStr">
        <is>
          <t>ندارد</t>
        </is>
      </c>
      <c r="F105" s="11" t="inlineStr">
        <is>
          <t>-</t>
        </is>
      </c>
      <c r="G105" s="10" t="n">
        <v>3505</v>
      </c>
      <c r="H105" s="8" t="n"/>
      <c r="I105" s="10">
        <f>SUMIF('جزئیات BOM'!$G$4:$G$607,A105,'جزئیات BOM'!$S$4:$S$607)</f>
        <v>2450</v>
      </c>
      <c r="J105" s="10">
        <f>SUMIF('جزئیات BOM'!$G$4:$G$607,A105,'جزئیات BOM'!$T$4:$T$607)</f>
        <v>2400</v>
      </c>
      <c r="K105" s="10">
        <f>ROUND(G105-I105,10)</f>
        <v>1055</v>
      </c>
      <c r="L105" s="10">
        <f>ROUNDUP(MAX(0,ROUND(J105-G105,10)),0)</f>
        <v>0</v>
      </c>
      <c r="M105" s="10" t="n">
        <v>1345</v>
      </c>
      <c r="N105" s="11" t="inlineStr">
        <is>
          <t>ثبت عددی</t>
        </is>
      </c>
      <c r="O105" s="11" t="inlineStr">
        <is>
          <t>عدد(شمارشی)</t>
        </is>
      </c>
      <c r="P105" s="11" t="inlineStr"/>
      <c r="Q105" s="13" t="n"/>
      <c r="R105" s="13" t="n"/>
    </row>
    <row r="106" ht="20" customHeight="1">
      <c r="A106" s="5" t="n">
        <v>1110464</v>
      </c>
      <c r="B106" s="6" t="inlineStr">
        <is>
          <t>IC VNN7NV0413TR</t>
        </is>
      </c>
      <c r="C106" s="7">
        <f>ROUNDUP(MAX(0,ROUND(I106+J106-G106,10)),0)</f>
        <v>1300</v>
      </c>
      <c r="D106" s="8" t="n"/>
      <c r="E106" s="6" t="inlineStr">
        <is>
          <t>دارد</t>
        </is>
      </c>
      <c r="F106" s="6" t="inlineStr">
        <is>
          <t>2</t>
        </is>
      </c>
      <c r="G106" s="5" t="n">
        <v>0</v>
      </c>
      <c r="H106" s="8" t="n"/>
      <c r="I106" s="5">
        <f>SUMIF('جزئیات BOM'!$G$4:$G$607,A106,'جزئیات BOM'!$S$4:$S$607)</f>
        <v>700</v>
      </c>
      <c r="J106" s="5">
        <f>SUMIF('جزئیات BOM'!$G$4:$G$607,A106,'جزئیات BOM'!$T$4:$T$607)</f>
        <v>600</v>
      </c>
      <c r="K106" s="5">
        <f>ROUND(G106-I106,10)</f>
        <v>-700</v>
      </c>
      <c r="L106" s="5">
        <f>ROUNDUP(MAX(0,ROUND(J106-G106,10)),0)</f>
        <v>600</v>
      </c>
      <c r="M106" s="5" t="n">
        <v>0</v>
      </c>
      <c r="N106" s="6" t="inlineStr">
        <is>
          <t>ثبت عددی</t>
        </is>
      </c>
      <c r="O106" s="6" t="inlineStr">
        <is>
          <t>عدد</t>
        </is>
      </c>
      <c r="P106" s="6" t="inlineStr">
        <is>
          <t>سهم جایگزین طبق BOM؛ نیازمند تأیید</t>
        </is>
      </c>
      <c r="Q106" s="9" t="n"/>
      <c r="R106" s="9" t="n"/>
    </row>
    <row r="107" ht="20" customHeight="1">
      <c r="A107" s="10" t="n">
        <v>1111044</v>
      </c>
      <c r="B107" s="11" t="inlineStr">
        <is>
          <t>IC, MCU,32-Bit Microcontroller,RH850/F1K</t>
        </is>
      </c>
      <c r="C107" s="12">
        <f>ROUNDUP(MAX(0,ROUND(I107+J107-G107,10)),0)</f>
        <v>1300</v>
      </c>
      <c r="D107" s="8" t="n"/>
      <c r="E107" s="11" t="inlineStr">
        <is>
          <t>دارد</t>
        </is>
      </c>
      <c r="F107" s="11" t="inlineStr">
        <is>
          <t>2</t>
        </is>
      </c>
      <c r="G107" s="10" t="n">
        <v>0</v>
      </c>
      <c r="H107" s="8" t="n"/>
      <c r="I107" s="10">
        <f>SUMIF('جزئیات BOM'!$G$4:$G$607,A107,'جزئیات BOM'!$S$4:$S$607)</f>
        <v>700</v>
      </c>
      <c r="J107" s="10">
        <f>SUMIF('جزئیات BOM'!$G$4:$G$607,A107,'جزئیات BOM'!$T$4:$T$607)</f>
        <v>600</v>
      </c>
      <c r="K107" s="10">
        <f>ROUND(G107-I107,10)</f>
        <v>-700</v>
      </c>
      <c r="L107" s="10">
        <f>ROUNDUP(MAX(0,ROUND(J107-G107,10)),0)</f>
        <v>600</v>
      </c>
      <c r="M107" s="10" t="n">
        <v>0</v>
      </c>
      <c r="N107" s="11" t="inlineStr">
        <is>
          <t>ثبت عددی</t>
        </is>
      </c>
      <c r="O107" s="11" t="inlineStr">
        <is>
          <t>عدد</t>
        </is>
      </c>
      <c r="P107" s="11" t="inlineStr">
        <is>
          <t>سهم جایگزین طبق BOM؛ نیازمند تأیید</t>
        </is>
      </c>
      <c r="Q107" s="13" t="n"/>
      <c r="R107" s="13" t="n"/>
    </row>
    <row r="108" ht="20" customHeight="1">
      <c r="A108" s="5" t="n">
        <v>1110773</v>
      </c>
      <c r="B108" s="6" t="inlineStr">
        <is>
          <t>Resistor 18K Ohms ±1% 0.125W, 1/8W</t>
        </is>
      </c>
      <c r="C108" s="7">
        <f>ROUNDUP(MAX(0,ROUND(I108+J108-G108,10)),0)</f>
        <v>1268</v>
      </c>
      <c r="D108" s="8" t="n"/>
      <c r="E108" s="6" t="inlineStr">
        <is>
          <t>ندارد</t>
        </is>
      </c>
      <c r="F108" s="6" t="inlineStr">
        <is>
          <t>-</t>
        </is>
      </c>
      <c r="G108" s="5" t="n">
        <v>3582</v>
      </c>
      <c r="H108" s="8" t="n"/>
      <c r="I108" s="5">
        <f>SUMIF('جزئیات BOM'!$G$4:$G$607,A108,'جزئیات BOM'!$S$4:$S$607)</f>
        <v>2450</v>
      </c>
      <c r="J108" s="5">
        <f>SUMIF('جزئیات BOM'!$G$4:$G$607,A108,'جزئیات BOM'!$T$4:$T$607)</f>
        <v>2400</v>
      </c>
      <c r="K108" s="5">
        <f>ROUND(G108-I108,10)</f>
        <v>1132</v>
      </c>
      <c r="L108" s="5">
        <f>ROUNDUP(MAX(0,ROUND(J108-G108,10)),0)</f>
        <v>0</v>
      </c>
      <c r="M108" s="5" t="n">
        <v>1268</v>
      </c>
      <c r="N108" s="6" t="inlineStr">
        <is>
          <t>ثبت عددی</t>
        </is>
      </c>
      <c r="O108" s="6" t="inlineStr">
        <is>
          <t>عدد(شمارشی)</t>
        </is>
      </c>
      <c r="P108" s="6" t="inlineStr"/>
      <c r="Q108" s="9" t="n"/>
      <c r="R108" s="9" t="n"/>
    </row>
    <row r="109" ht="20" customHeight="1">
      <c r="A109" s="10" t="n">
        <v>1110673</v>
      </c>
      <c r="B109" s="11" t="inlineStr">
        <is>
          <t>Resistor 240k Ohms ±5%  0.125W, 1/8W</t>
        </is>
      </c>
      <c r="C109" s="12">
        <f>ROUNDUP(MAX(0,ROUND(I109+J109-G109,10)),0)</f>
        <v>1252</v>
      </c>
      <c r="D109" s="8" t="n"/>
      <c r="E109" s="11" t="inlineStr">
        <is>
          <t>ندارد</t>
        </is>
      </c>
      <c r="F109" s="11" t="inlineStr">
        <is>
          <t>-</t>
        </is>
      </c>
      <c r="G109" s="10" t="n">
        <v>3598</v>
      </c>
      <c r="H109" s="8" t="n"/>
      <c r="I109" s="10">
        <f>SUMIF('جزئیات BOM'!$G$4:$G$607,A109,'جزئیات BOM'!$S$4:$S$607)</f>
        <v>2450</v>
      </c>
      <c r="J109" s="10">
        <f>SUMIF('جزئیات BOM'!$G$4:$G$607,A109,'جزئیات BOM'!$T$4:$T$607)</f>
        <v>2400</v>
      </c>
      <c r="K109" s="10">
        <f>ROUND(G109-I109,10)</f>
        <v>1148</v>
      </c>
      <c r="L109" s="10">
        <f>ROUNDUP(MAX(0,ROUND(J109-G109,10)),0)</f>
        <v>0</v>
      </c>
      <c r="M109" s="10" t="n">
        <v>1252</v>
      </c>
      <c r="N109" s="11" t="inlineStr">
        <is>
          <t>ثبت عددی</t>
        </is>
      </c>
      <c r="O109" s="11" t="inlineStr">
        <is>
          <t>عدد(شمارشی)</t>
        </is>
      </c>
      <c r="P109" s="11" t="inlineStr"/>
      <c r="Q109" s="13" t="n"/>
      <c r="R109" s="13" t="n"/>
    </row>
    <row r="110" ht="20" customHeight="1">
      <c r="A110" s="5" t="n">
        <v>1110815</v>
      </c>
      <c r="B110" s="6" t="inlineStr">
        <is>
          <t>DIODE Zener 30V UDZS30B</t>
        </is>
      </c>
      <c r="C110" s="7">
        <f>ROUNDUP(MAX(0,ROUND(I110+J110-G110,10)),0)</f>
        <v>1230</v>
      </c>
      <c r="D110" s="8" t="n"/>
      <c r="E110" s="6" t="inlineStr">
        <is>
          <t>ندارد</t>
        </is>
      </c>
      <c r="F110" s="6" t="inlineStr">
        <is>
          <t>-</t>
        </is>
      </c>
      <c r="G110" s="5" t="n">
        <v>3620</v>
      </c>
      <c r="H110" s="8" t="n"/>
      <c r="I110" s="5">
        <f>SUMIF('جزئیات BOM'!$G$4:$G$607,A110,'جزئیات BOM'!$S$4:$S$607)</f>
        <v>2450</v>
      </c>
      <c r="J110" s="5">
        <f>SUMIF('جزئیات BOM'!$G$4:$G$607,A110,'جزئیات BOM'!$T$4:$T$607)</f>
        <v>2400</v>
      </c>
      <c r="K110" s="5">
        <f>ROUND(G110-I110,10)</f>
        <v>1170</v>
      </c>
      <c r="L110" s="5">
        <f>ROUNDUP(MAX(0,ROUND(J110-G110,10)),0)</f>
        <v>0</v>
      </c>
      <c r="M110" s="5" t="n">
        <v>1230</v>
      </c>
      <c r="N110" s="6" t="inlineStr">
        <is>
          <t>ثبت عددی</t>
        </is>
      </c>
      <c r="O110" s="6" t="inlineStr">
        <is>
          <t>عدد(شمارشی)</t>
        </is>
      </c>
      <c r="P110" s="6" t="inlineStr"/>
      <c r="Q110" s="9" t="n"/>
      <c r="R110" s="9" t="n"/>
    </row>
    <row r="111" ht="20" customHeight="1">
      <c r="A111" s="10" t="n">
        <v>1110476</v>
      </c>
      <c r="B111" s="11" t="inlineStr">
        <is>
          <t>IC Micro Controller RL78-D1A- R5F10DPJJFB</t>
        </is>
      </c>
      <c r="C111" s="12">
        <f>ROUNDUP(MAX(0,ROUND(I111+J111-G111,10)),0)</f>
        <v>1220</v>
      </c>
      <c r="D111" s="8" t="n"/>
      <c r="E111" s="11" t="inlineStr">
        <is>
          <t>دارد</t>
        </is>
      </c>
      <c r="F111" s="11" t="inlineStr">
        <is>
          <t>2</t>
        </is>
      </c>
      <c r="G111" s="10" t="n">
        <v>0</v>
      </c>
      <c r="H111" s="8" t="n"/>
      <c r="I111" s="10">
        <f>SUMIF('جزئیات BOM'!$G$4:$G$607,A111,'جزئیات BOM'!$S$4:$S$607)</f>
        <v>640</v>
      </c>
      <c r="J111" s="10">
        <f>SUMIF('جزئیات BOM'!$G$4:$G$607,A111,'جزئیات BOM'!$T$4:$T$607)</f>
        <v>580</v>
      </c>
      <c r="K111" s="10">
        <f>ROUND(G111-I111,10)</f>
        <v>-640</v>
      </c>
      <c r="L111" s="10">
        <f>ROUNDUP(MAX(0,ROUND(J111-G111,10)),0)</f>
        <v>580</v>
      </c>
      <c r="M111" s="10" t="n">
        <v>0</v>
      </c>
      <c r="N111" s="14" t="inlineStr">
        <is>
          <t>خالی در فایل؛ فرض صفر</t>
        </is>
      </c>
      <c r="O111" s="11" t="inlineStr">
        <is>
          <t>عدد</t>
        </is>
      </c>
      <c r="P111" s="11" t="inlineStr">
        <is>
          <t>سهم جایگزین طبق BOM؛ نیازمند تأیید | موجودی نامشخص؛ صفر فرض شده</t>
        </is>
      </c>
      <c r="Q111" s="13" t="n"/>
      <c r="R111" s="13" t="n"/>
    </row>
    <row r="112" ht="20" customHeight="1">
      <c r="A112" s="5" t="n">
        <v>1110849</v>
      </c>
      <c r="B112" s="6" t="inlineStr">
        <is>
          <t>LED, Blue EL 67-21B1C-A1J2L1C6C-2T8-AM</t>
        </is>
      </c>
      <c r="C112" s="7">
        <f>ROUNDUP(MAX(0,ROUND(I112+J112-G112,10)),0)</f>
        <v>1152</v>
      </c>
      <c r="D112" s="8" t="n"/>
      <c r="E112" s="6" t="inlineStr">
        <is>
          <t>دارد</t>
        </is>
      </c>
      <c r="F112" s="6" t="inlineStr">
        <is>
          <t>2</t>
        </is>
      </c>
      <c r="G112" s="5" t="n">
        <v>0</v>
      </c>
      <c r="H112" s="8" t="n"/>
      <c r="I112" s="5">
        <f>SUMIF('جزئیات BOM'!$G$4:$G$607,A112,'جزئیات BOM'!$S$4:$S$607)</f>
        <v>768.9</v>
      </c>
      <c r="J112" s="5">
        <f>SUMIF('جزئیات BOM'!$G$4:$G$607,A112,'جزئیات BOM'!$T$4:$T$607)</f>
        <v>382.8</v>
      </c>
      <c r="K112" s="5">
        <f>ROUND(G112-I112,10)</f>
        <v>-768.9</v>
      </c>
      <c r="L112" s="5">
        <f>ROUNDUP(MAX(0,ROUND(J112-G112,10)),0)</f>
        <v>383</v>
      </c>
      <c r="M112" s="5" t="n">
        <v>0</v>
      </c>
      <c r="N112" s="14" t="inlineStr">
        <is>
          <t>خالی در فایل؛ فرض صفر</t>
        </is>
      </c>
      <c r="O112" s="6" t="inlineStr">
        <is>
          <t>عدد</t>
        </is>
      </c>
      <c r="P112" s="6" t="inlineStr">
        <is>
          <t>سهم جایگزین طبق BOM؛ نیازمند تأیید | موجودی نامشخص؛ صفر فرض شده</t>
        </is>
      </c>
      <c r="Q112" s="9" t="n"/>
      <c r="R112" s="9" t="n"/>
    </row>
    <row r="113" ht="20" customHeight="1">
      <c r="A113" s="10" t="n">
        <v>1110876</v>
      </c>
      <c r="B113" s="11" t="inlineStr">
        <is>
          <t>LED, Blue LB T676-K2L2-1</t>
        </is>
      </c>
      <c r="C113" s="12">
        <f>ROUNDUP(MAX(0,ROUND(I113+J113-G113,10)),0)</f>
        <v>1152</v>
      </c>
      <c r="D113" s="8" t="n"/>
      <c r="E113" s="11" t="inlineStr">
        <is>
          <t>دارد</t>
        </is>
      </c>
      <c r="F113" s="11" t="inlineStr">
        <is>
          <t>3</t>
        </is>
      </c>
      <c r="G113" s="10" t="n">
        <v>0</v>
      </c>
      <c r="H113" s="8" t="n"/>
      <c r="I113" s="10">
        <f>SUMIF('جزئیات BOM'!$G$4:$G$607,A113,'جزئیات BOM'!$S$4:$S$607)</f>
        <v>768.9</v>
      </c>
      <c r="J113" s="10">
        <f>SUMIF('جزئیات BOM'!$G$4:$G$607,A113,'جزئیات BOM'!$T$4:$T$607)</f>
        <v>382.8</v>
      </c>
      <c r="K113" s="10">
        <f>ROUND(G113-I113,10)</f>
        <v>-768.9</v>
      </c>
      <c r="L113" s="10">
        <f>ROUNDUP(MAX(0,ROUND(J113-G113,10)),0)</f>
        <v>383</v>
      </c>
      <c r="M113" s="10" t="n">
        <v>0</v>
      </c>
      <c r="N113" s="14" t="inlineStr">
        <is>
          <t>خالی در فایل؛ فرض صفر</t>
        </is>
      </c>
      <c r="O113" s="11" t="inlineStr">
        <is>
          <t>عدد</t>
        </is>
      </c>
      <c r="P113" s="11" t="inlineStr">
        <is>
          <t>سهم جایگزین طبق BOM؛ نیازمند تأیید | موجودی نامشخص؛ صفر فرض شده</t>
        </is>
      </c>
      <c r="Q113" s="13" t="n"/>
      <c r="R113" s="13" t="n"/>
    </row>
    <row r="114" ht="20" customHeight="1">
      <c r="A114" s="5" t="n">
        <v>1110771</v>
      </c>
      <c r="B114" s="6" t="inlineStr">
        <is>
          <t>1206,Resistor 1.5K,5%,1/4W</t>
        </is>
      </c>
      <c r="C114" s="7">
        <f>ROUNDUP(MAX(0,ROUND(I114+J114-G114,10)),0)</f>
        <v>1149</v>
      </c>
      <c r="D114" s="8" t="n"/>
      <c r="E114" s="6" t="inlineStr">
        <is>
          <t>دارد</t>
        </is>
      </c>
      <c r="F114" s="6" t="inlineStr">
        <is>
          <t>1</t>
        </is>
      </c>
      <c r="G114" s="5" t="n">
        <v>9771</v>
      </c>
      <c r="H114" s="8" t="n"/>
      <c r="I114" s="5">
        <f>SUMIF('جزئیات BOM'!$G$4:$G$607,A114,'جزئیات BOM'!$S$4:$S$607)</f>
        <v>5540</v>
      </c>
      <c r="J114" s="5">
        <f>SUMIF('جزئیات BOM'!$G$4:$G$607,A114,'جزئیات BOM'!$T$4:$T$607)</f>
        <v>5380</v>
      </c>
      <c r="K114" s="5">
        <f>ROUND(G114-I114,10)</f>
        <v>4231</v>
      </c>
      <c r="L114" s="5">
        <f>ROUNDUP(MAX(0,ROUND(J114-G114,10)),0)</f>
        <v>0</v>
      </c>
      <c r="M114" s="5" t="n">
        <v>0</v>
      </c>
      <c r="N114" s="6" t="inlineStr">
        <is>
          <t>ثبت عددی</t>
        </is>
      </c>
      <c r="O114" s="6" t="inlineStr">
        <is>
          <t>عدد</t>
        </is>
      </c>
      <c r="P114" s="6" t="inlineStr">
        <is>
          <t>سهم جایگزین طبق BOM؛ نیازمند تأیید</t>
        </is>
      </c>
      <c r="Q114" s="9" t="n"/>
      <c r="R114" s="9" t="n"/>
    </row>
    <row r="115" ht="20" customHeight="1">
      <c r="A115" s="10" t="n">
        <v>1110853</v>
      </c>
      <c r="B115" s="11" t="inlineStr">
        <is>
          <t>LED Green-LP T67K-F1G2-25</t>
        </is>
      </c>
      <c r="C115" s="12">
        <f>ROUNDUP(MAX(0,ROUND(I115+J115-G115,10)),0)</f>
        <v>1125</v>
      </c>
      <c r="D115" s="8" t="n"/>
      <c r="E115" s="11" t="inlineStr">
        <is>
          <t>ندارد</t>
        </is>
      </c>
      <c r="F115" s="11" t="inlineStr">
        <is>
          <t>-</t>
        </is>
      </c>
      <c r="G115" s="10" t="n">
        <v>6845</v>
      </c>
      <c r="H115" s="8" t="n"/>
      <c r="I115" s="10">
        <f>SUMIF('جزئیات BOM'!$G$4:$G$607,A115,'جزئیات BOM'!$S$4:$S$607)</f>
        <v>5290</v>
      </c>
      <c r="J115" s="10">
        <f>SUMIF('جزئیات BOM'!$G$4:$G$607,A115,'جزئیات BOM'!$T$4:$T$607)</f>
        <v>2680</v>
      </c>
      <c r="K115" s="10">
        <f>ROUND(G115-I115,10)</f>
        <v>1555</v>
      </c>
      <c r="L115" s="10">
        <f>ROUNDUP(MAX(0,ROUND(J115-G115,10)),0)</f>
        <v>0</v>
      </c>
      <c r="M115" s="10" t="n">
        <v>1125</v>
      </c>
      <c r="N115" s="11" t="inlineStr">
        <is>
          <t>ثبت عددی</t>
        </is>
      </c>
      <c r="O115" s="11" t="inlineStr">
        <is>
          <t>عدد</t>
        </is>
      </c>
      <c r="P115" s="11" t="inlineStr"/>
      <c r="Q115" s="13" t="n"/>
      <c r="R115" s="13" t="n"/>
    </row>
    <row r="116" ht="20" customHeight="1">
      <c r="A116" s="5" t="n">
        <v>1110915</v>
      </c>
      <c r="B116" s="6" t="inlineStr">
        <is>
          <t>Diode BAS21LT1G</t>
        </is>
      </c>
      <c r="C116" s="7">
        <f>ROUNDUP(MAX(0,ROUND(I116+J116-G116,10)),0)</f>
        <v>1117</v>
      </c>
      <c r="D116" s="8" t="n"/>
      <c r="E116" s="6" t="inlineStr">
        <is>
          <t>ندارد</t>
        </is>
      </c>
      <c r="F116" s="6" t="inlineStr">
        <is>
          <t>-</t>
        </is>
      </c>
      <c r="G116" s="5" t="n">
        <v>4203</v>
      </c>
      <c r="H116" s="8" t="n"/>
      <c r="I116" s="5">
        <f>SUMIF('جزئیات BOM'!$G$4:$G$607,A116,'جزئیات BOM'!$S$4:$S$607)</f>
        <v>2920</v>
      </c>
      <c r="J116" s="5">
        <f>SUMIF('جزئیات BOM'!$G$4:$G$607,A116,'جزئیات BOM'!$T$4:$T$607)</f>
        <v>2400</v>
      </c>
      <c r="K116" s="5">
        <f>ROUND(G116-I116,10)</f>
        <v>1283</v>
      </c>
      <c r="L116" s="5">
        <f>ROUNDUP(MAX(0,ROUND(J116-G116,10)),0)</f>
        <v>0</v>
      </c>
      <c r="M116" s="5" t="n">
        <v>1117</v>
      </c>
      <c r="N116" s="6" t="inlineStr">
        <is>
          <t>ثبت عددی</t>
        </is>
      </c>
      <c r="O116" s="6" t="inlineStr">
        <is>
          <t>عدد</t>
        </is>
      </c>
      <c r="P116" s="6" t="inlineStr"/>
      <c r="Q116" s="9" t="n"/>
      <c r="R116" s="9" t="n"/>
    </row>
    <row r="117" ht="20" customHeight="1">
      <c r="A117" s="10" t="n">
        <v>1110001</v>
      </c>
      <c r="B117" s="11" t="inlineStr">
        <is>
          <t>Capacitor 1UF, 50V, X7R,10%</t>
        </is>
      </c>
      <c r="C117" s="12">
        <f>ROUNDUP(MAX(0,ROUND(I117+J117-G117,10)),0)</f>
        <v>1020</v>
      </c>
      <c r="D117" s="8" t="n"/>
      <c r="E117" s="11" t="inlineStr">
        <is>
          <t>دارد</t>
        </is>
      </c>
      <c r="F117" s="11" t="inlineStr">
        <is>
          <t>2</t>
        </is>
      </c>
      <c r="G117" s="10" t="n">
        <v>0</v>
      </c>
      <c r="H117" s="8" t="n"/>
      <c r="I117" s="10">
        <f>SUMIF('جزئیات BOM'!$G$4:$G$607,A117,'جزئیات BOM'!$S$4:$S$607)</f>
        <v>840</v>
      </c>
      <c r="J117" s="10">
        <f>SUMIF('جزئیات BOM'!$G$4:$G$607,A117,'جزئیات BOM'!$T$4:$T$607)</f>
        <v>180</v>
      </c>
      <c r="K117" s="10">
        <f>ROUND(G117-I117,10)</f>
        <v>-840</v>
      </c>
      <c r="L117" s="10">
        <f>ROUNDUP(MAX(0,ROUND(J117-G117,10)),0)</f>
        <v>180</v>
      </c>
      <c r="M117" s="10" t="n">
        <v>0</v>
      </c>
      <c r="N117" s="11" t="inlineStr">
        <is>
          <t>ثبت عددی</t>
        </is>
      </c>
      <c r="O117" s="11" t="inlineStr">
        <is>
          <t>عدد</t>
        </is>
      </c>
      <c r="P117" s="11" t="inlineStr">
        <is>
          <t>سهم جایگزین طبق BOM؛ نیازمند تأیید</t>
        </is>
      </c>
      <c r="Q117" s="13" t="n"/>
      <c r="R117" s="13" t="n"/>
    </row>
    <row r="118" ht="20" customHeight="1">
      <c r="A118" s="5" t="n">
        <v>1100115</v>
      </c>
      <c r="B118" s="6" t="inlineStr">
        <is>
          <t>PCB ICN1_Dena_RL78_100Pin_C2(050213)</t>
        </is>
      </c>
      <c r="C118" s="7">
        <f>ROUNDUP(MAX(0,ROUND(I118+J118-G118,10)),0)</f>
        <v>990</v>
      </c>
      <c r="D118" s="8" t="n"/>
      <c r="E118" s="6" t="inlineStr">
        <is>
          <t>ندارد</t>
        </is>
      </c>
      <c r="F118" s="6" t="inlineStr">
        <is>
          <t>-</t>
        </is>
      </c>
      <c r="G118" s="5" t="n">
        <v>0</v>
      </c>
      <c r="H118" s="8" t="n"/>
      <c r="I118" s="5">
        <f>SUMIF('جزئیات BOM'!$G$4:$G$607,A118,'جزئیات BOM'!$S$4:$S$607)</f>
        <v>630</v>
      </c>
      <c r="J118" s="5">
        <f>SUMIF('جزئیات BOM'!$G$4:$G$607,A118,'جزئیات BOM'!$T$4:$T$607)</f>
        <v>360</v>
      </c>
      <c r="K118" s="5">
        <f>ROUND(G118-I118,10)</f>
        <v>-630</v>
      </c>
      <c r="L118" s="5">
        <f>ROUNDUP(MAX(0,ROUND(J118-G118,10)),0)</f>
        <v>360</v>
      </c>
      <c r="M118" s="5" t="n">
        <v>990</v>
      </c>
      <c r="N118" s="6" t="inlineStr">
        <is>
          <t>ثبت عددی</t>
        </is>
      </c>
      <c r="O118" s="6" t="inlineStr">
        <is>
          <t>عدد(شمارشی)</t>
        </is>
      </c>
      <c r="P118" s="6" t="inlineStr"/>
      <c r="Q118" s="9" t="n"/>
      <c r="R118" s="9" t="n"/>
    </row>
    <row r="119" ht="20" customHeight="1">
      <c r="A119" s="10" t="n">
        <v>1111046</v>
      </c>
      <c r="B119" s="11" t="inlineStr">
        <is>
          <t>IC MCU,RH850/F1L R7F7010333AFP</t>
        </is>
      </c>
      <c r="C119" s="12">
        <f>ROUNDUP(MAX(0,ROUND(I119+J119-G119,10)),0)</f>
        <v>878</v>
      </c>
      <c r="D119" s="8" t="n"/>
      <c r="E119" s="11" t="inlineStr">
        <is>
          <t>دارد</t>
        </is>
      </c>
      <c r="F119" s="11" t="inlineStr">
        <is>
          <t>2</t>
        </is>
      </c>
      <c r="G119" s="10" t="n">
        <v>0</v>
      </c>
      <c r="H119" s="8" t="n"/>
      <c r="I119" s="10">
        <f>SUMIF('جزئیات BOM'!$G$4:$G$607,A119,'جزئیات BOM'!$S$4:$S$607)</f>
        <v>481.8</v>
      </c>
      <c r="J119" s="10">
        <f>SUMIF('جزئیات BOM'!$G$4:$G$607,A119,'جزئیات BOM'!$T$4:$T$607)</f>
        <v>396</v>
      </c>
      <c r="K119" s="10">
        <f>ROUND(G119-I119,10)</f>
        <v>-481.8</v>
      </c>
      <c r="L119" s="10">
        <f>ROUNDUP(MAX(0,ROUND(J119-G119,10)),0)</f>
        <v>396</v>
      </c>
      <c r="M119" s="10" t="n">
        <v>0</v>
      </c>
      <c r="N119" s="14" t="inlineStr">
        <is>
          <t>خالی در فایل؛ فرض صفر</t>
        </is>
      </c>
      <c r="O119" s="11" t="inlineStr">
        <is>
          <t>عدد</t>
        </is>
      </c>
      <c r="P119" s="11" t="inlineStr">
        <is>
          <t>سهم جایگزین طبق BOM؛ نیازمند تأیید | موجودی نامشخص؛ صفر فرض شده</t>
        </is>
      </c>
      <c r="Q119" s="13" t="n"/>
      <c r="R119" s="13" t="n"/>
    </row>
    <row r="120" ht="20" customHeight="1">
      <c r="A120" s="5" t="n">
        <v>1111049</v>
      </c>
      <c r="B120" s="6" t="inlineStr">
        <is>
          <t>IC Microcontroller R7F7010343AFP</t>
        </is>
      </c>
      <c r="C120" s="7">
        <f>ROUNDUP(MAX(0,ROUND(I120+J120-G120,10)),0)</f>
        <v>878</v>
      </c>
      <c r="D120" s="8" t="n"/>
      <c r="E120" s="6" t="inlineStr">
        <is>
          <t>دارد</t>
        </is>
      </c>
      <c r="F120" s="6" t="inlineStr">
        <is>
          <t>3</t>
        </is>
      </c>
      <c r="G120" s="5" t="n">
        <v>0</v>
      </c>
      <c r="H120" s="8" t="n"/>
      <c r="I120" s="5">
        <f>SUMIF('جزئیات BOM'!$G$4:$G$607,A120,'جزئیات BOM'!$S$4:$S$607)</f>
        <v>481.8</v>
      </c>
      <c r="J120" s="5">
        <f>SUMIF('جزئیات BOM'!$G$4:$G$607,A120,'جزئیات BOM'!$T$4:$T$607)</f>
        <v>396</v>
      </c>
      <c r="K120" s="5">
        <f>ROUND(G120-I120,10)</f>
        <v>-481.8</v>
      </c>
      <c r="L120" s="5">
        <f>ROUNDUP(MAX(0,ROUND(J120-G120,10)),0)</f>
        <v>396</v>
      </c>
      <c r="M120" s="5" t="n">
        <v>0</v>
      </c>
      <c r="N120" s="14" t="inlineStr">
        <is>
          <t>خالی در فایل؛ فرض صفر</t>
        </is>
      </c>
      <c r="O120" s="6" t="inlineStr">
        <is>
          <t>عدد</t>
        </is>
      </c>
      <c r="P120" s="6" t="inlineStr">
        <is>
          <t>سهم جایگزین طبق BOM؛ نیازمند تأیید | موجودی نامشخص؛ صفر فرض شده</t>
        </is>
      </c>
      <c r="Q120" s="9" t="n"/>
      <c r="R120" s="9" t="n"/>
    </row>
    <row r="121" ht="20" customHeight="1">
      <c r="A121" s="10" t="n">
        <v>1110200</v>
      </c>
      <c r="B121" s="11" t="inlineStr">
        <is>
          <t>Resistor 10,1%,1/4W,1206</t>
        </is>
      </c>
      <c r="C121" s="12">
        <f>ROUNDUP(MAX(0,ROUND(I121+J121-G121,10)),0)</f>
        <v>828</v>
      </c>
      <c r="D121" s="8" t="n"/>
      <c r="E121" s="11" t="inlineStr">
        <is>
          <t>ندارد</t>
        </is>
      </c>
      <c r="F121" s="11" t="inlineStr">
        <is>
          <t>-</t>
        </is>
      </c>
      <c r="G121" s="10" t="n">
        <v>1612</v>
      </c>
      <c r="H121" s="8" t="n"/>
      <c r="I121" s="10">
        <f>SUMIF('جزئیات BOM'!$G$4:$G$607,A121,'جزئیات BOM'!$S$4:$S$607)</f>
        <v>1280</v>
      </c>
      <c r="J121" s="10">
        <f>SUMIF('جزئیات BOM'!$G$4:$G$607,A121,'جزئیات BOM'!$T$4:$T$607)</f>
        <v>1160</v>
      </c>
      <c r="K121" s="10">
        <f>ROUND(G121-I121,10)</f>
        <v>332</v>
      </c>
      <c r="L121" s="10">
        <f>ROUNDUP(MAX(0,ROUND(J121-G121,10)),0)</f>
        <v>0</v>
      </c>
      <c r="M121" s="10" t="n">
        <v>828</v>
      </c>
      <c r="N121" s="11" t="inlineStr">
        <is>
          <t>ثبت عددی</t>
        </is>
      </c>
      <c r="O121" s="11" t="inlineStr">
        <is>
          <t>عدد</t>
        </is>
      </c>
      <c r="P121" s="11" t="inlineStr"/>
      <c r="Q121" s="13" t="n"/>
      <c r="R121" s="13" t="n"/>
    </row>
    <row r="122" ht="20" customHeight="1">
      <c r="A122" s="5" t="n">
        <v>1101111</v>
      </c>
      <c r="B122" s="6" t="inlineStr">
        <is>
          <t>Resistor, 1M,1%,1/4W</t>
        </is>
      </c>
      <c r="C122" s="7">
        <f>ROUNDUP(MAX(0,ROUND(I122+J122-G122,10)),0)</f>
        <v>791</v>
      </c>
      <c r="D122" s="8" t="n"/>
      <c r="E122" s="6" t="inlineStr">
        <is>
          <t>ندارد</t>
        </is>
      </c>
      <c r="F122" s="6" t="inlineStr">
        <is>
          <t>-</t>
        </is>
      </c>
      <c r="G122" s="5" t="n">
        <v>11209</v>
      </c>
      <c r="H122" s="8" t="n"/>
      <c r="I122" s="5">
        <f>SUMIF('جزئیات BOM'!$G$4:$G$607,A122,'جزئیات BOM'!$S$4:$S$607)</f>
        <v>12000</v>
      </c>
      <c r="J122" s="5">
        <f>SUMIF('جزئیات BOM'!$G$4:$G$607,A122,'جزئیات BOM'!$T$4:$T$607)</f>
        <v>0</v>
      </c>
      <c r="K122" s="5">
        <f>ROUND(G122-I122,10)</f>
        <v>-791</v>
      </c>
      <c r="L122" s="5">
        <f>ROUNDUP(MAX(0,ROUND(J122-G122,10)),0)</f>
        <v>0</v>
      </c>
      <c r="M122" s="5" t="n">
        <v>791</v>
      </c>
      <c r="N122" s="6" t="inlineStr">
        <is>
          <t>ثبت عددی</t>
        </is>
      </c>
      <c r="O122" s="6" t="inlineStr">
        <is>
          <t>عدد(شمارشی)</t>
        </is>
      </c>
      <c r="P122" s="6" t="inlineStr"/>
      <c r="Q122" s="9" t="n"/>
      <c r="R122" s="9" t="n"/>
    </row>
    <row r="123" ht="20" customHeight="1">
      <c r="A123" s="10" t="n">
        <v>1100457</v>
      </c>
      <c r="B123" s="11" t="inlineStr">
        <is>
          <t>PCB PW DSM Crouse Type</t>
        </is>
      </c>
      <c r="C123" s="12">
        <f>ROUNDUP(MAX(0,ROUND(I123+J123-G123,10)),0)</f>
        <v>758</v>
      </c>
      <c r="D123" s="8" t="n"/>
      <c r="E123" s="11" t="inlineStr">
        <is>
          <t>ندارد</t>
        </is>
      </c>
      <c r="F123" s="11" t="inlineStr">
        <is>
          <t>-</t>
        </is>
      </c>
      <c r="G123" s="10" t="n">
        <v>2442</v>
      </c>
      <c r="H123" s="8" t="n"/>
      <c r="I123" s="10">
        <f>SUMIF('جزئیات BOM'!$G$4:$G$607,A123,'جزئیات BOM'!$S$4:$S$607)</f>
        <v>1200</v>
      </c>
      <c r="J123" s="10">
        <f>SUMIF('جزئیات BOM'!$G$4:$G$607,A123,'جزئیات BOM'!$T$4:$T$607)</f>
        <v>2000</v>
      </c>
      <c r="K123" s="10">
        <f>ROUND(G123-I123,10)</f>
        <v>1242</v>
      </c>
      <c r="L123" s="10">
        <f>ROUNDUP(MAX(0,ROUND(J123-G123,10)),0)</f>
        <v>0</v>
      </c>
      <c r="M123" s="10" t="n">
        <v>758</v>
      </c>
      <c r="N123" s="11" t="inlineStr">
        <is>
          <t>ثبت عددی</t>
        </is>
      </c>
      <c r="O123" s="11" t="inlineStr">
        <is>
          <t>عدد(شمارشی)</t>
        </is>
      </c>
      <c r="P123" s="11" t="inlineStr"/>
      <c r="Q123" s="13" t="n"/>
      <c r="R123" s="13" t="n"/>
    </row>
    <row r="124" ht="20" customHeight="1">
      <c r="A124" s="5" t="n">
        <v>1100105</v>
      </c>
      <c r="B124" s="6" t="inlineStr">
        <is>
          <t>PCB ICN SOREN CS RL78</t>
        </is>
      </c>
      <c r="C124" s="7">
        <f>ROUNDUP(MAX(0,ROUND(I124+J124-G124,10)),0)</f>
        <v>685</v>
      </c>
      <c r="D124" s="8" t="n"/>
      <c r="E124" s="6" t="inlineStr">
        <is>
          <t>ندارد</t>
        </is>
      </c>
      <c r="F124" s="6" t="inlineStr">
        <is>
          <t>-</t>
        </is>
      </c>
      <c r="G124" s="5" t="n">
        <v>765</v>
      </c>
      <c r="H124" s="8" t="n"/>
      <c r="I124" s="5">
        <f>SUMIF('جزئیات BOM'!$G$4:$G$607,A124,'جزئیات BOM'!$S$4:$S$607)</f>
        <v>650</v>
      </c>
      <c r="J124" s="5">
        <f>SUMIF('جزئیات BOM'!$G$4:$G$607,A124,'جزئیات BOM'!$T$4:$T$607)</f>
        <v>800</v>
      </c>
      <c r="K124" s="5">
        <f>ROUND(G124-I124,10)</f>
        <v>115</v>
      </c>
      <c r="L124" s="5">
        <f>ROUNDUP(MAX(0,ROUND(J124-G124,10)),0)</f>
        <v>35</v>
      </c>
      <c r="M124" s="5" t="n">
        <v>685</v>
      </c>
      <c r="N124" s="6" t="inlineStr">
        <is>
          <t>ثبت عددی</t>
        </is>
      </c>
      <c r="O124" s="6" t="inlineStr">
        <is>
          <t>عدد(شمارشی)</t>
        </is>
      </c>
      <c r="P124" s="6" t="inlineStr"/>
      <c r="Q124" s="9" t="n"/>
      <c r="R124" s="9" t="n"/>
    </row>
    <row r="125" ht="20" customHeight="1">
      <c r="A125" s="10" t="n">
        <v>1110916</v>
      </c>
      <c r="B125" s="11" t="inlineStr">
        <is>
          <t>Diod PESD1LIN</t>
        </is>
      </c>
      <c r="C125" s="12">
        <f>ROUNDUP(MAX(0,ROUND(I125+J125-G125,10)),0)</f>
        <v>597</v>
      </c>
      <c r="D125" s="8" t="n"/>
      <c r="E125" s="11" t="inlineStr">
        <is>
          <t>ندارد</t>
        </is>
      </c>
      <c r="F125" s="11" t="inlineStr">
        <is>
          <t>-</t>
        </is>
      </c>
      <c r="G125" s="10" t="n">
        <v>7923</v>
      </c>
      <c r="H125" s="8" t="n"/>
      <c r="I125" s="10">
        <f>SUMIF('جزئیات BOM'!$G$4:$G$607,A125,'جزئیات BOM'!$S$4:$S$607)</f>
        <v>4120</v>
      </c>
      <c r="J125" s="10">
        <f>SUMIF('جزئیات BOM'!$G$4:$G$607,A125,'جزئیات BOM'!$T$4:$T$607)</f>
        <v>4400</v>
      </c>
      <c r="K125" s="10">
        <f>ROUND(G125-I125,10)</f>
        <v>3803</v>
      </c>
      <c r="L125" s="10">
        <f>ROUNDUP(MAX(0,ROUND(J125-G125,10)),0)</f>
        <v>0</v>
      </c>
      <c r="M125" s="10" t="n">
        <v>597</v>
      </c>
      <c r="N125" s="11" t="inlineStr">
        <is>
          <t>ثبت عددی</t>
        </is>
      </c>
      <c r="O125" s="11" t="inlineStr">
        <is>
          <t>عدد</t>
        </is>
      </c>
      <c r="P125" s="11" t="inlineStr"/>
      <c r="Q125" s="13" t="n"/>
      <c r="R125" s="13" t="n"/>
    </row>
    <row r="126" ht="20" customHeight="1">
      <c r="A126" s="5" t="n">
        <v>1110610</v>
      </c>
      <c r="B126" s="6" t="inlineStr">
        <is>
          <t>Transistor BCX56</t>
        </is>
      </c>
      <c r="C126" s="7">
        <f>ROUNDUP(MAX(0,ROUND(I126+J126-G126,10)),0)</f>
        <v>528</v>
      </c>
      <c r="D126" s="8" t="n"/>
      <c r="E126" s="6" t="inlineStr">
        <is>
          <t>ندارد</t>
        </is>
      </c>
      <c r="F126" s="6" t="inlineStr">
        <is>
          <t>-</t>
        </is>
      </c>
      <c r="G126" s="5" t="n">
        <v>1912</v>
      </c>
      <c r="H126" s="8" t="n"/>
      <c r="I126" s="5">
        <f>SUMIF('جزئیات BOM'!$G$4:$G$607,A126,'جزئیات BOM'!$S$4:$S$607)</f>
        <v>1280</v>
      </c>
      <c r="J126" s="5">
        <f>SUMIF('جزئیات BOM'!$G$4:$G$607,A126,'جزئیات BOM'!$T$4:$T$607)</f>
        <v>1160</v>
      </c>
      <c r="K126" s="5">
        <f>ROUND(G126-I126,10)</f>
        <v>632</v>
      </c>
      <c r="L126" s="5">
        <f>ROUNDUP(MAX(0,ROUND(J126-G126,10)),0)</f>
        <v>0</v>
      </c>
      <c r="M126" s="5" t="n">
        <v>528</v>
      </c>
      <c r="N126" s="6" t="inlineStr">
        <is>
          <t>ثبت عددی</t>
        </is>
      </c>
      <c r="O126" s="6" t="inlineStr">
        <is>
          <t>عدد</t>
        </is>
      </c>
      <c r="P126" s="6" t="inlineStr"/>
      <c r="Q126" s="9" t="n"/>
      <c r="R126" s="9" t="n"/>
    </row>
    <row r="127" ht="20" customHeight="1">
      <c r="A127" s="10" t="n">
        <v>1110302</v>
      </c>
      <c r="B127" s="11" t="inlineStr">
        <is>
          <t>Resistor 4.7K,1%,1/8W</t>
        </is>
      </c>
      <c r="C127" s="12">
        <f>ROUNDUP(MAX(0,ROUND(I127+J127-G127,10)),0)</f>
        <v>500</v>
      </c>
      <c r="D127" s="8" t="n"/>
      <c r="E127" s="11" t="inlineStr">
        <is>
          <t>دارد</t>
        </is>
      </c>
      <c r="F127" s="11" t="inlineStr">
        <is>
          <t>2</t>
        </is>
      </c>
      <c r="G127" s="10" t="n">
        <v>0</v>
      </c>
      <c r="H127" s="8" t="n"/>
      <c r="I127" s="10">
        <f>SUMIF('جزئیات BOM'!$G$4:$G$607,A127,'جزئیات BOM'!$S$4:$S$607)</f>
        <v>500</v>
      </c>
      <c r="J127" s="10">
        <f>SUMIF('جزئیات BOM'!$G$4:$G$607,A127,'جزئیات BOM'!$T$4:$T$607)</f>
        <v>0</v>
      </c>
      <c r="K127" s="10">
        <f>ROUND(G127-I127,10)</f>
        <v>-500</v>
      </c>
      <c r="L127" s="10">
        <f>ROUNDUP(MAX(0,ROUND(J127-G127,10)),0)</f>
        <v>0</v>
      </c>
      <c r="M127" s="10" t="n">
        <v>0</v>
      </c>
      <c r="N127" s="11" t="inlineStr">
        <is>
          <t>ثبت عددی</t>
        </is>
      </c>
      <c r="O127" s="11" t="inlineStr">
        <is>
          <t>عدد</t>
        </is>
      </c>
      <c r="P127" s="11" t="inlineStr">
        <is>
          <t>سهم جایگزین طبق BOM؛ نیازمند تأیید</t>
        </is>
      </c>
      <c r="Q127" s="13" t="n"/>
      <c r="R127" s="13" t="n"/>
    </row>
    <row r="128" ht="20" customHeight="1">
      <c r="A128" s="5" t="n">
        <v>1110517</v>
      </c>
      <c r="B128" s="6" t="inlineStr">
        <is>
          <t>IC, MCU,8-Bit Microcontroller PIC16F18346T-I/SO</t>
        </is>
      </c>
      <c r="C128" s="7">
        <f>ROUNDUP(MAX(0,ROUND(I128+J128-G128,10)),0)</f>
        <v>500</v>
      </c>
      <c r="D128" s="8" t="n"/>
      <c r="E128" s="6" t="inlineStr">
        <is>
          <t>دارد</t>
        </is>
      </c>
      <c r="F128" s="6" t="inlineStr">
        <is>
          <t>2</t>
        </is>
      </c>
      <c r="G128" s="5" t="n">
        <v>0</v>
      </c>
      <c r="H128" s="8" t="n"/>
      <c r="I128" s="5">
        <f>SUMIF('جزئیات BOM'!$G$4:$G$607,A128,'جزئیات BOM'!$S$4:$S$607)</f>
        <v>500</v>
      </c>
      <c r="J128" s="5">
        <f>SUMIF('جزئیات BOM'!$G$4:$G$607,A128,'جزئیات BOM'!$T$4:$T$607)</f>
        <v>0</v>
      </c>
      <c r="K128" s="5">
        <f>ROUND(G128-I128,10)</f>
        <v>-500</v>
      </c>
      <c r="L128" s="5">
        <f>ROUNDUP(MAX(0,ROUND(J128-G128,10)),0)</f>
        <v>0</v>
      </c>
      <c r="M128" s="5" t="n">
        <v>0</v>
      </c>
      <c r="N128" s="14" t="inlineStr">
        <is>
          <t>خالی در فایل؛ فرض صفر</t>
        </is>
      </c>
      <c r="O128" s="6" t="inlineStr">
        <is>
          <t>عدد</t>
        </is>
      </c>
      <c r="P128" s="6" t="inlineStr">
        <is>
          <t>سهم جایگزین طبق BOM؛ نیازمند تأیید | موجودی نامشخص؛ صفر فرض شده</t>
        </is>
      </c>
      <c r="Q128" s="9" t="n"/>
      <c r="R128" s="9" t="n"/>
    </row>
    <row r="129" ht="20" customHeight="1">
      <c r="A129" s="10" t="n">
        <v>1110636</v>
      </c>
      <c r="B129" s="11" t="inlineStr">
        <is>
          <t>MOSFET N-Channel,40V,50A</t>
        </is>
      </c>
      <c r="C129" s="12">
        <f>ROUNDUP(MAX(0,ROUND(I129+J129-G129,10)),0)</f>
        <v>500</v>
      </c>
      <c r="D129" s="8" t="n"/>
      <c r="E129" s="11" t="inlineStr">
        <is>
          <t>دارد</t>
        </is>
      </c>
      <c r="F129" s="11" t="inlineStr">
        <is>
          <t>2</t>
        </is>
      </c>
      <c r="G129" s="10" t="n">
        <v>0</v>
      </c>
      <c r="H129" s="8" t="n"/>
      <c r="I129" s="10">
        <f>SUMIF('جزئیات BOM'!$G$4:$G$607,A129,'جزئیات BOM'!$S$4:$S$607)</f>
        <v>500</v>
      </c>
      <c r="J129" s="10">
        <f>SUMIF('جزئیات BOM'!$G$4:$G$607,A129,'جزئیات BOM'!$T$4:$T$607)</f>
        <v>0</v>
      </c>
      <c r="K129" s="10">
        <f>ROUND(G129-I129,10)</f>
        <v>-500</v>
      </c>
      <c r="L129" s="10">
        <f>ROUNDUP(MAX(0,ROUND(J129-G129,10)),0)</f>
        <v>0</v>
      </c>
      <c r="M129" s="10" t="n">
        <v>0</v>
      </c>
      <c r="N129" s="14" t="inlineStr">
        <is>
          <t>خالی در فایل؛ فرض صفر</t>
        </is>
      </c>
      <c r="O129" s="11" t="inlineStr">
        <is>
          <t>عدد</t>
        </is>
      </c>
      <c r="P129" s="11" t="inlineStr">
        <is>
          <t>سهم جایگزین طبق BOM؛ نیازمند تأیید | موجودی نامشخص؛ صفر فرض شده</t>
        </is>
      </c>
      <c r="Q129" s="13" t="n"/>
      <c r="R129" s="13" t="n"/>
    </row>
    <row r="130" ht="20" customHeight="1">
      <c r="A130" s="5" t="n">
        <v>1110752</v>
      </c>
      <c r="B130" s="6" t="inlineStr">
        <is>
          <t>Resistor 10K,1%,1/4W_</t>
        </is>
      </c>
      <c r="C130" s="7">
        <f>ROUNDUP(MAX(0,ROUND(I130+J130-G130,10)),0)</f>
        <v>500</v>
      </c>
      <c r="D130" s="8" t="n"/>
      <c r="E130" s="6" t="inlineStr">
        <is>
          <t>دارد</t>
        </is>
      </c>
      <c r="F130" s="6" t="inlineStr">
        <is>
          <t>2</t>
        </is>
      </c>
      <c r="G130" s="5" t="n">
        <v>0</v>
      </c>
      <c r="H130" s="8" t="n"/>
      <c r="I130" s="5">
        <f>SUMIF('جزئیات BOM'!$G$4:$G$607,A130,'جزئیات BOM'!$S$4:$S$607)</f>
        <v>500</v>
      </c>
      <c r="J130" s="5">
        <f>SUMIF('جزئیات BOM'!$G$4:$G$607,A130,'جزئیات BOM'!$T$4:$T$607)</f>
        <v>0</v>
      </c>
      <c r="K130" s="5">
        <f>ROUND(G130-I130,10)</f>
        <v>-500</v>
      </c>
      <c r="L130" s="5">
        <f>ROUNDUP(MAX(0,ROUND(J130-G130,10)),0)</f>
        <v>0</v>
      </c>
      <c r="M130" s="5" t="n">
        <v>0</v>
      </c>
      <c r="N130" s="14" t="inlineStr">
        <is>
          <t>خالی در فایل؛ فرض صفر</t>
        </is>
      </c>
      <c r="O130" s="6" t="inlineStr">
        <is>
          <t>عدد</t>
        </is>
      </c>
      <c r="P130" s="6" t="inlineStr">
        <is>
          <t>سهم جایگزین طبق BOM؛ نیازمند تأیید | موجودی نامشخص؛ صفر فرض شده</t>
        </is>
      </c>
      <c r="Q130" s="9" t="n"/>
      <c r="R130" s="9" t="n"/>
    </row>
    <row r="131" ht="20" customHeight="1">
      <c r="A131" s="10" t="n">
        <v>1110282</v>
      </c>
      <c r="B131" s="11" t="inlineStr">
        <is>
          <t>Resistor 1K,5%,1/8W</t>
        </is>
      </c>
      <c r="C131" s="12">
        <f>ROUNDUP(MAX(0,ROUND(I131+J131-G131,10)),0)</f>
        <v>498</v>
      </c>
      <c r="D131" s="8" t="n"/>
      <c r="E131" s="11" t="inlineStr">
        <is>
          <t>دارد</t>
        </is>
      </c>
      <c r="F131" s="11" t="inlineStr">
        <is>
          <t>1</t>
        </is>
      </c>
      <c r="G131" s="10" t="n">
        <v>17052</v>
      </c>
      <c r="H131" s="8" t="n"/>
      <c r="I131" s="10">
        <f>SUMIF('جزئیات BOM'!$G$4:$G$607,A131,'جزئیات BOM'!$S$4:$S$607)</f>
        <v>10350</v>
      </c>
      <c r="J131" s="10">
        <f>SUMIF('جزئیات BOM'!$G$4:$G$607,A131,'جزئیات BOM'!$T$4:$T$607)</f>
        <v>7200</v>
      </c>
      <c r="K131" s="10">
        <f>ROUND(G131-I131,10)</f>
        <v>6702</v>
      </c>
      <c r="L131" s="10">
        <f>ROUNDUP(MAX(0,ROUND(J131-G131,10)),0)</f>
        <v>0</v>
      </c>
      <c r="M131" s="10" t="n">
        <v>107</v>
      </c>
      <c r="N131" s="11" t="inlineStr">
        <is>
          <t>ثبت عددی</t>
        </is>
      </c>
      <c r="O131" s="11" t="inlineStr">
        <is>
          <t>عدد</t>
        </is>
      </c>
      <c r="P131" s="11" t="inlineStr">
        <is>
          <t>سهم جایگزین طبق BOM؛ نیازمند تأیید</t>
        </is>
      </c>
      <c r="Q131" s="13" t="n"/>
      <c r="R131" s="13" t="n"/>
    </row>
    <row r="132" ht="20" customHeight="1">
      <c r="A132" s="5" t="n">
        <v>1110479</v>
      </c>
      <c r="B132" s="6" t="inlineStr">
        <is>
          <t>IC Micro Controller PIC16F1823-I/SL</t>
        </is>
      </c>
      <c r="C132" s="7">
        <f>ROUNDUP(MAX(0,ROUND(I132+J132-G132,10)),0)</f>
        <v>392</v>
      </c>
      <c r="D132" s="8" t="n"/>
      <c r="E132" s="6" t="inlineStr">
        <is>
          <t>ندارد</t>
        </is>
      </c>
      <c r="F132" s="6" t="inlineStr">
        <is>
          <t>-</t>
        </is>
      </c>
      <c r="G132" s="5" t="n">
        <v>2808</v>
      </c>
      <c r="H132" s="8" t="n"/>
      <c r="I132" s="5">
        <f>SUMIF('جزئیات BOM'!$G$4:$G$607,A132,'جزئیات BOM'!$S$4:$S$607)</f>
        <v>1200</v>
      </c>
      <c r="J132" s="5">
        <f>SUMIF('جزئیات BOM'!$G$4:$G$607,A132,'جزئیات BOM'!$T$4:$T$607)</f>
        <v>2000</v>
      </c>
      <c r="K132" s="5">
        <f>ROUND(G132-I132,10)</f>
        <v>1608</v>
      </c>
      <c r="L132" s="5">
        <f>ROUNDUP(MAX(0,ROUND(J132-G132,10)),0)</f>
        <v>0</v>
      </c>
      <c r="M132" s="5" t="n">
        <v>392</v>
      </c>
      <c r="N132" s="6" t="inlineStr">
        <is>
          <t>ثبت عددی</t>
        </is>
      </c>
      <c r="O132" s="6" t="inlineStr">
        <is>
          <t>عدد</t>
        </is>
      </c>
      <c r="P132" s="6" t="inlineStr"/>
      <c r="Q132" s="9" t="n"/>
      <c r="R132" s="9" t="n"/>
    </row>
    <row r="133" ht="20" customHeight="1">
      <c r="A133" s="10" t="n">
        <v>1111900</v>
      </c>
      <c r="B133" s="11" t="inlineStr">
        <is>
          <t>Coil 0.1uH,SIMID02/08</t>
        </is>
      </c>
      <c r="C133" s="12">
        <f>ROUNDUP(MAX(0,ROUND(I133+J133-G133,10)),0)</f>
        <v>363</v>
      </c>
      <c r="D133" s="8" t="n"/>
      <c r="E133" s="11" t="inlineStr">
        <is>
          <t>ندارد</t>
        </is>
      </c>
      <c r="F133" s="11" t="inlineStr">
        <is>
          <t>-</t>
        </is>
      </c>
      <c r="G133" s="10" t="n">
        <v>2837</v>
      </c>
      <c r="H133" s="8" t="n"/>
      <c r="I133" s="10">
        <f>SUMIF('جزئیات BOM'!$G$4:$G$607,A133,'جزئیات BOM'!$S$4:$S$607)</f>
        <v>1200</v>
      </c>
      <c r="J133" s="10">
        <f>SUMIF('جزئیات BOM'!$G$4:$G$607,A133,'جزئیات BOM'!$T$4:$T$607)</f>
        <v>2000</v>
      </c>
      <c r="K133" s="10">
        <f>ROUND(G133-I133,10)</f>
        <v>1637</v>
      </c>
      <c r="L133" s="10">
        <f>ROUNDUP(MAX(0,ROUND(J133-G133,10)),0)</f>
        <v>0</v>
      </c>
      <c r="M133" s="10" t="n">
        <v>363</v>
      </c>
      <c r="N133" s="11" t="inlineStr">
        <is>
          <t>ثبت عددی</t>
        </is>
      </c>
      <c r="O133" s="11" t="inlineStr">
        <is>
          <t>عدد</t>
        </is>
      </c>
      <c r="P133" s="11" t="inlineStr"/>
      <c r="Q133" s="13" t="n"/>
      <c r="R133" s="13" t="n"/>
    </row>
    <row r="134" ht="20" customHeight="1">
      <c r="A134" s="5" t="n">
        <v>1111053</v>
      </c>
      <c r="B134" s="6" t="inlineStr">
        <is>
          <t>IC  Microcontroller RL78 R5F10DSKLFB</t>
        </is>
      </c>
      <c r="C134" s="7">
        <f>ROUNDUP(MAX(0,ROUND(I134+J134-G134,10)),0)</f>
        <v>347</v>
      </c>
      <c r="D134" s="8" t="n"/>
      <c r="E134" s="6" t="inlineStr">
        <is>
          <t>دارد</t>
        </is>
      </c>
      <c r="F134" s="6" t="inlineStr">
        <is>
          <t>2</t>
        </is>
      </c>
      <c r="G134" s="5" t="n">
        <v>0</v>
      </c>
      <c r="H134" s="8" t="n"/>
      <c r="I134" s="5">
        <f>SUMIF('جزئیات BOM'!$G$4:$G$607,A134,'جزئیات BOM'!$S$4:$S$607)</f>
        <v>346.5</v>
      </c>
      <c r="J134" s="5">
        <f>SUMIF('جزئیات BOM'!$G$4:$G$607,A134,'جزئیات BOM'!$T$4:$T$607)</f>
        <v>0</v>
      </c>
      <c r="K134" s="5">
        <f>ROUND(G134-I134,10)</f>
        <v>-346.5</v>
      </c>
      <c r="L134" s="5">
        <f>ROUNDUP(MAX(0,ROUND(J134-G134,10)),0)</f>
        <v>0</v>
      </c>
      <c r="M134" s="5" t="n">
        <v>0</v>
      </c>
      <c r="N134" s="14" t="inlineStr">
        <is>
          <t>خالی در فایل؛ فرض صفر</t>
        </is>
      </c>
      <c r="O134" s="6" t="inlineStr">
        <is>
          <t>عدد(شمارشی)</t>
        </is>
      </c>
      <c r="P134" s="6" t="inlineStr">
        <is>
          <t>سهم جایگزین طبق BOM؛ نیازمند تأیید | موجودی نامشخص؛ صفر فرض شده</t>
        </is>
      </c>
      <c r="Q134" s="9" t="n"/>
      <c r="R134" s="9" t="n"/>
    </row>
    <row r="135" ht="20" customHeight="1">
      <c r="A135" s="10" t="n">
        <v>1111054</v>
      </c>
      <c r="B135" s="11" t="inlineStr">
        <is>
          <t>IC Microcontroller RL78 R5F10DSLJFB</t>
        </is>
      </c>
      <c r="C135" s="12">
        <f>ROUNDUP(MAX(0,ROUND(I135+J135-G135,10)),0)</f>
        <v>347</v>
      </c>
      <c r="D135" s="8" t="n"/>
      <c r="E135" s="11" t="inlineStr">
        <is>
          <t>دارد</t>
        </is>
      </c>
      <c r="F135" s="11" t="inlineStr">
        <is>
          <t>3</t>
        </is>
      </c>
      <c r="G135" s="10" t="n">
        <v>0</v>
      </c>
      <c r="H135" s="8" t="n"/>
      <c r="I135" s="10">
        <f>SUMIF('جزئیات BOM'!$G$4:$G$607,A135,'جزئیات BOM'!$S$4:$S$607)</f>
        <v>346.5</v>
      </c>
      <c r="J135" s="10">
        <f>SUMIF('جزئیات BOM'!$G$4:$G$607,A135,'جزئیات BOM'!$T$4:$T$607)</f>
        <v>0</v>
      </c>
      <c r="K135" s="10">
        <f>ROUND(G135-I135,10)</f>
        <v>-346.5</v>
      </c>
      <c r="L135" s="10">
        <f>ROUNDUP(MAX(0,ROUND(J135-G135,10)),0)</f>
        <v>0</v>
      </c>
      <c r="M135" s="10" t="n">
        <v>0</v>
      </c>
      <c r="N135" s="14" t="inlineStr">
        <is>
          <t>خالی در فایل؛ فرض صفر</t>
        </is>
      </c>
      <c r="O135" s="11" t="inlineStr">
        <is>
          <t>عدد(شمارشی)</t>
        </is>
      </c>
      <c r="P135" s="11" t="inlineStr">
        <is>
          <t>سهم جایگزین طبق BOM؛ نیازمند تأیید | موجودی نامشخص؛ صفر فرض شده</t>
        </is>
      </c>
      <c r="Q135" s="13" t="n"/>
      <c r="R135" s="13" t="n"/>
    </row>
    <row r="136" ht="20" customHeight="1">
      <c r="A136" s="5" t="n">
        <v>1110180</v>
      </c>
      <c r="B136" s="6" t="inlineStr">
        <is>
          <t>Resistor 100k, 5%, 1/10w, 0603</t>
        </is>
      </c>
      <c r="C136" s="7">
        <f>ROUNDUP(MAX(0,ROUND(I136+J136-G136,10)),0)</f>
        <v>333</v>
      </c>
      <c r="D136" s="8" t="n"/>
      <c r="E136" s="6" t="inlineStr">
        <is>
          <t>دارد</t>
        </is>
      </c>
      <c r="F136" s="6" t="inlineStr">
        <is>
          <t>2</t>
        </is>
      </c>
      <c r="G136" s="5" t="n">
        <v>7142</v>
      </c>
      <c r="H136" s="8" t="n"/>
      <c r="I136" s="5">
        <f>SUMIF('جزئیات BOM'!$G$4:$G$607,A136,'جزئیات BOM'!$S$4:$S$607)</f>
        <v>4275</v>
      </c>
      <c r="J136" s="5">
        <f>SUMIF('جزئیات BOM'!$G$4:$G$607,A136,'جزئیات BOM'!$T$4:$T$607)</f>
        <v>3200</v>
      </c>
      <c r="K136" s="5">
        <f>ROUND(G136-I136,10)</f>
        <v>2867</v>
      </c>
      <c r="L136" s="5">
        <f>ROUNDUP(MAX(0,ROUND(J136-G136,10)),0)</f>
        <v>0</v>
      </c>
      <c r="M136" s="5" t="n">
        <v>0</v>
      </c>
      <c r="N136" s="6" t="inlineStr">
        <is>
          <t>ثبت عددی</t>
        </is>
      </c>
      <c r="O136" s="6" t="inlineStr">
        <is>
          <t>عدد</t>
        </is>
      </c>
      <c r="P136" s="6" t="inlineStr">
        <is>
          <t>سهم جایگزین طبق BOM؛ نیازمند تأیید</t>
        </is>
      </c>
      <c r="Q136" s="9" t="n"/>
      <c r="R136" s="9" t="n"/>
    </row>
    <row r="137" ht="20" customHeight="1">
      <c r="A137" s="10" t="n">
        <v>1110502</v>
      </c>
      <c r="B137" s="11" t="inlineStr">
        <is>
          <t>IC Microcontroller R7F7010323AFP</t>
        </is>
      </c>
      <c r="C137" s="12">
        <f>ROUNDUP(MAX(0,ROUND(I137+J137-G137,10)),0)</f>
        <v>328</v>
      </c>
      <c r="D137" s="8" t="n"/>
      <c r="E137" s="11" t="inlineStr">
        <is>
          <t>دارد</t>
        </is>
      </c>
      <c r="F137" s="11" t="inlineStr">
        <is>
          <t>1</t>
        </is>
      </c>
      <c r="G137" s="10" t="n">
        <v>577</v>
      </c>
      <c r="H137" s="8" t="n"/>
      <c r="I137" s="10">
        <f>SUMIF('جزئیات BOM'!$G$4:$G$607,A137,'جزئیات BOM'!$S$4:$S$607)</f>
        <v>496.4</v>
      </c>
      <c r="J137" s="10">
        <f>SUMIF('جزئیات BOM'!$G$4:$G$607,A137,'جزئیات BOM'!$T$4:$T$607)</f>
        <v>408</v>
      </c>
      <c r="K137" s="10">
        <f>ROUND(G137-I137,10)</f>
        <v>80.6</v>
      </c>
      <c r="L137" s="10">
        <f>ROUNDUP(MAX(0,ROUND(J137-G137,10)),0)</f>
        <v>0</v>
      </c>
      <c r="M137" s="10" t="n">
        <v>2083</v>
      </c>
      <c r="N137" s="11" t="inlineStr">
        <is>
          <t>ثبت عددی</t>
        </is>
      </c>
      <c r="O137" s="11" t="inlineStr">
        <is>
          <t>عدد</t>
        </is>
      </c>
      <c r="P137" s="11" t="inlineStr">
        <is>
          <t>سهم جایگزین طبق BOM؛ نیازمند تأیید</t>
        </is>
      </c>
      <c r="Q137" s="13" t="n"/>
      <c r="R137" s="13" t="n"/>
    </row>
    <row r="138" ht="20" customHeight="1">
      <c r="A138" s="5" t="n">
        <v>1110087</v>
      </c>
      <c r="B138" s="6" t="inlineStr">
        <is>
          <t>Capacitor 10P, RF Type,NPO,50V,20%</t>
        </is>
      </c>
      <c r="C138" s="7">
        <f>ROUNDUP(MAX(0,ROUND(I138+J138-G138,10)),0)</f>
        <v>316</v>
      </c>
      <c r="D138" s="8" t="n"/>
      <c r="E138" s="6" t="inlineStr">
        <is>
          <t>ندارد</t>
        </is>
      </c>
      <c r="F138" s="6" t="inlineStr">
        <is>
          <t>-</t>
        </is>
      </c>
      <c r="G138" s="5" t="n">
        <v>4564</v>
      </c>
      <c r="H138" s="8" t="n"/>
      <c r="I138" s="5">
        <f>SUMIF('جزئیات BOM'!$G$4:$G$607,A138,'جزئیات BOM'!$S$4:$S$607)</f>
        <v>2560</v>
      </c>
      <c r="J138" s="5">
        <f>SUMIF('جزئیات BOM'!$G$4:$G$607,A138,'جزئیات BOM'!$T$4:$T$607)</f>
        <v>2320</v>
      </c>
      <c r="K138" s="5">
        <f>ROUND(G138-I138,10)</f>
        <v>2004</v>
      </c>
      <c r="L138" s="5">
        <f>ROUNDUP(MAX(0,ROUND(J138-G138,10)),0)</f>
        <v>0</v>
      </c>
      <c r="M138" s="5" t="n">
        <v>316</v>
      </c>
      <c r="N138" s="6" t="inlineStr">
        <is>
          <t>ثبت عددی</t>
        </is>
      </c>
      <c r="O138" s="6" t="inlineStr">
        <is>
          <t>عدد</t>
        </is>
      </c>
      <c r="P138" s="6" t="inlineStr"/>
      <c r="Q138" s="9" t="n"/>
      <c r="R138" s="9" t="n"/>
    </row>
    <row r="139" ht="20" customHeight="1">
      <c r="A139" s="10" t="n">
        <v>1110273</v>
      </c>
      <c r="B139" s="11" t="inlineStr">
        <is>
          <t>Resistor 316,1%,1W</t>
        </is>
      </c>
      <c r="C139" s="12">
        <f>ROUNDUP(MAX(0,ROUND(I139+J139-G139,10)),0)</f>
        <v>281</v>
      </c>
      <c r="D139" s="8" t="n"/>
      <c r="E139" s="11" t="inlineStr">
        <is>
          <t>دارد</t>
        </is>
      </c>
      <c r="F139" s="11" t="inlineStr">
        <is>
          <t>3</t>
        </is>
      </c>
      <c r="G139" s="10" t="n">
        <v>4108</v>
      </c>
      <c r="H139" s="8" t="n"/>
      <c r="I139" s="10">
        <f>SUMIF('جزئیات BOM'!$G$4:$G$607,A139,'جزئیات BOM'!$S$4:$S$607)</f>
        <v>2409</v>
      </c>
      <c r="J139" s="10">
        <f>SUMIF('جزئیات BOM'!$G$4:$G$607,A139,'جزئیات BOM'!$T$4:$T$607)</f>
        <v>1980</v>
      </c>
      <c r="K139" s="10">
        <f>ROUND(G139-I139,10)</f>
        <v>1699</v>
      </c>
      <c r="L139" s="10">
        <f>ROUNDUP(MAX(0,ROUND(J139-G139,10)),0)</f>
        <v>0</v>
      </c>
      <c r="M139" s="10" t="n">
        <v>0</v>
      </c>
      <c r="N139" s="11" t="inlineStr">
        <is>
          <t>ثبت عددی</t>
        </is>
      </c>
      <c r="O139" s="11" t="inlineStr">
        <is>
          <t>عدد</t>
        </is>
      </c>
      <c r="P139" s="11" t="inlineStr">
        <is>
          <t>سهم جایگزین طبق BOM؛ نیازمند تأیید</t>
        </is>
      </c>
      <c r="Q139" s="13" t="n"/>
      <c r="R139" s="13" t="n"/>
    </row>
    <row r="140" ht="20" customHeight="1">
      <c r="A140" s="5" t="n">
        <v>1110779</v>
      </c>
      <c r="B140" s="6" t="inlineStr">
        <is>
          <t>Resistor 27K,1%,1/10W</t>
        </is>
      </c>
      <c r="C140" s="7">
        <f>ROUNDUP(MAX(0,ROUND(I140+J140-G140,10)),0)</f>
        <v>197</v>
      </c>
      <c r="D140" s="8" t="n"/>
      <c r="E140" s="6" t="inlineStr">
        <is>
          <t>ندارد</t>
        </is>
      </c>
      <c r="F140" s="6" t="inlineStr">
        <is>
          <t>-</t>
        </is>
      </c>
      <c r="G140" s="5" t="n">
        <v>4963</v>
      </c>
      <c r="H140" s="8" t="n"/>
      <c r="I140" s="5">
        <f>SUMIF('جزئیات BOM'!$G$4:$G$607,A140,'جزئیات BOM'!$S$4:$S$607)</f>
        <v>3160</v>
      </c>
      <c r="J140" s="5">
        <f>SUMIF('جزئیات BOM'!$G$4:$G$607,A140,'جزئیات BOM'!$T$4:$T$607)</f>
        <v>2000</v>
      </c>
      <c r="K140" s="5">
        <f>ROUND(G140-I140,10)</f>
        <v>1803</v>
      </c>
      <c r="L140" s="5">
        <f>ROUNDUP(MAX(0,ROUND(J140-G140,10)),0)</f>
        <v>0</v>
      </c>
      <c r="M140" s="5" t="n">
        <v>197</v>
      </c>
      <c r="N140" s="6" t="inlineStr">
        <is>
          <t>ثبت عددی</t>
        </is>
      </c>
      <c r="O140" s="6" t="inlineStr">
        <is>
          <t>عدد</t>
        </is>
      </c>
      <c r="P140" s="6" t="inlineStr"/>
      <c r="Q140" s="9" t="n"/>
      <c r="R140" s="9" t="n"/>
    </row>
    <row r="141" ht="20" customHeight="1">
      <c r="A141" s="10" t="n">
        <v>1110098</v>
      </c>
      <c r="B141" s="11" t="inlineStr">
        <is>
          <t>Capacitor 330uF,35V,20%,105C,D&lt;8,L&lt;20</t>
        </is>
      </c>
      <c r="C141" s="12">
        <f>ROUNDUP(MAX(0,ROUND(I141+J141-G141,10)),0)</f>
        <v>193</v>
      </c>
      <c r="D141" s="8" t="n"/>
      <c r="E141" s="11" t="inlineStr">
        <is>
          <t>ندارد</t>
        </is>
      </c>
      <c r="F141" s="11" t="inlineStr">
        <is>
          <t>-</t>
        </is>
      </c>
      <c r="G141" s="10" t="n">
        <v>3297</v>
      </c>
      <c r="H141" s="8" t="n"/>
      <c r="I141" s="10">
        <f>SUMIF('جزئیات BOM'!$G$4:$G$607,A141,'جزئیات BOM'!$S$4:$S$607)</f>
        <v>2330</v>
      </c>
      <c r="J141" s="10">
        <f>SUMIF('جزئیات BOM'!$G$4:$G$607,A141,'جزئیات BOM'!$T$4:$T$607)</f>
        <v>1160</v>
      </c>
      <c r="K141" s="10">
        <f>ROUND(G141-I141,10)</f>
        <v>967</v>
      </c>
      <c r="L141" s="10">
        <f>ROUNDUP(MAX(0,ROUND(J141-G141,10)),0)</f>
        <v>0</v>
      </c>
      <c r="M141" s="10" t="n">
        <v>193</v>
      </c>
      <c r="N141" s="11" t="inlineStr">
        <is>
          <t>ثبت عددی</t>
        </is>
      </c>
      <c r="O141" s="11" t="inlineStr">
        <is>
          <t>عدد</t>
        </is>
      </c>
      <c r="P141" s="11" t="inlineStr"/>
      <c r="Q141" s="13" t="n"/>
      <c r="R141" s="13" t="n"/>
    </row>
    <row r="142" ht="20" customHeight="1">
      <c r="A142" s="5" t="n">
        <v>1110951</v>
      </c>
      <c r="B142" s="6" t="inlineStr">
        <is>
          <t>Diode Supressor SMBJ28CA-TR</t>
        </is>
      </c>
      <c r="C142" s="7">
        <f>ROUNDUP(MAX(0,ROUND(I142+J142-G142,10)),0)</f>
        <v>124</v>
      </c>
      <c r="D142" s="8" t="n"/>
      <c r="E142" s="6" t="inlineStr">
        <is>
          <t>ندارد</t>
        </is>
      </c>
      <c r="F142" s="6" t="inlineStr">
        <is>
          <t>-</t>
        </is>
      </c>
      <c r="G142" s="5" t="n">
        <v>7566</v>
      </c>
      <c r="H142" s="8" t="n"/>
      <c r="I142" s="5">
        <f>SUMIF('جزئیات BOM'!$G$4:$G$607,A142,'جزئیات BOM'!$S$4:$S$607)</f>
        <v>4530</v>
      </c>
      <c r="J142" s="5">
        <f>SUMIF('جزئیات BOM'!$G$4:$G$607,A142,'جزئیات BOM'!$T$4:$T$607)</f>
        <v>3160</v>
      </c>
      <c r="K142" s="5">
        <f>ROUND(G142-I142,10)</f>
        <v>3036</v>
      </c>
      <c r="L142" s="5">
        <f>ROUNDUP(MAX(0,ROUND(J142-G142,10)),0)</f>
        <v>0</v>
      </c>
      <c r="M142" s="5" t="n">
        <v>124</v>
      </c>
      <c r="N142" s="6" t="inlineStr">
        <is>
          <t>ثبت عددی</t>
        </is>
      </c>
      <c r="O142" s="6" t="inlineStr">
        <is>
          <t>عدد</t>
        </is>
      </c>
      <c r="P142" s="6" t="inlineStr"/>
      <c r="Q142" s="9" t="n"/>
      <c r="R142" s="9" t="n"/>
    </row>
    <row r="143" ht="20" customHeight="1">
      <c r="A143" s="10" t="n">
        <v>1100101</v>
      </c>
      <c r="B143" s="11" t="inlineStr">
        <is>
          <t>PCB P7L MT INT</t>
        </is>
      </c>
      <c r="C143" s="12">
        <f>ROUNDUP(MAX(0,ROUND(I143+J143-G143,10)),0)</f>
        <v>0</v>
      </c>
      <c r="D143" s="8" t="n"/>
      <c r="E143" s="11" t="inlineStr">
        <is>
          <t>ندارد</t>
        </is>
      </c>
      <c r="F143" s="11" t="inlineStr">
        <is>
          <t>-</t>
        </is>
      </c>
      <c r="G143" s="10" t="n">
        <v>1450</v>
      </c>
      <c r="H143" s="8" t="n"/>
      <c r="I143" s="10">
        <f>SUMIF('جزئیات BOM'!$G$4:$G$607,A143,'جزئیات BOM'!$S$4:$S$607)</f>
        <v>1050</v>
      </c>
      <c r="J143" s="10">
        <f>SUMIF('جزئیات BOM'!$G$4:$G$607,A143,'جزئیات BOM'!$T$4:$T$607)</f>
        <v>0</v>
      </c>
      <c r="K143" s="10">
        <f>ROUND(G143-I143,10)</f>
        <v>400</v>
      </c>
      <c r="L143" s="10">
        <f>ROUNDUP(MAX(0,ROUND(J143-G143,10)),0)</f>
        <v>0</v>
      </c>
      <c r="M143" s="10" t="n">
        <v>0</v>
      </c>
      <c r="N143" s="11" t="inlineStr">
        <is>
          <t>ثبت عددی</t>
        </is>
      </c>
      <c r="O143" s="11" t="inlineStr">
        <is>
          <t>عدد(شمارشی)</t>
        </is>
      </c>
      <c r="P143" s="11" t="inlineStr"/>
      <c r="Q143" s="13" t="n"/>
      <c r="R143" s="13" t="n"/>
    </row>
    <row r="144" ht="20" customHeight="1">
      <c r="A144" s="5" t="n">
        <v>1100211</v>
      </c>
      <c r="B144" s="6" t="inlineStr">
        <is>
          <t>PCB_RF_Module_T312</t>
        </is>
      </c>
      <c r="C144" s="7">
        <f>ROUNDUP(MAX(0,ROUND(I144+J144-G144,10)),0)</f>
        <v>0</v>
      </c>
      <c r="D144" s="8" t="n"/>
      <c r="E144" s="6" t="inlineStr">
        <is>
          <t>ندارد</t>
        </is>
      </c>
      <c r="F144" s="6" t="inlineStr">
        <is>
          <t>-</t>
        </is>
      </c>
      <c r="G144" s="5" t="n">
        <v>7072</v>
      </c>
      <c r="H144" s="8" t="n"/>
      <c r="I144" s="5">
        <f>SUMIF('جزئیات BOM'!$G$4:$G$607,A144,'جزئیات BOM'!$S$4:$S$607)</f>
        <v>2300</v>
      </c>
      <c r="J144" s="5">
        <f>SUMIF('جزئیات BOM'!$G$4:$G$607,A144,'جزئیات BOM'!$T$4:$T$607)</f>
        <v>4000</v>
      </c>
      <c r="K144" s="5">
        <f>ROUND(G144-I144,10)</f>
        <v>4772</v>
      </c>
      <c r="L144" s="5">
        <f>ROUNDUP(MAX(0,ROUND(J144-G144,10)),0)</f>
        <v>0</v>
      </c>
      <c r="M144" s="5" t="n">
        <v>0</v>
      </c>
      <c r="N144" s="6" t="inlineStr">
        <is>
          <t>ثبت عددی</t>
        </is>
      </c>
      <c r="O144" s="6" t="inlineStr">
        <is>
          <t>عدد(شمارشی)</t>
        </is>
      </c>
      <c r="P144" s="6" t="inlineStr"/>
      <c r="Q144" s="9" t="n"/>
      <c r="R144" s="9" t="n"/>
    </row>
    <row r="145" ht="20" customHeight="1">
      <c r="A145" s="10" t="n">
        <v>1100251</v>
      </c>
      <c r="B145" s="11" t="inlineStr">
        <is>
          <t>PCB FAN  DRIVER BLDC</t>
        </is>
      </c>
      <c r="C145" s="12">
        <f>ROUNDUP(MAX(0,ROUND(I145+J145-G145,10)),0)</f>
        <v>0</v>
      </c>
      <c r="D145" s="8" t="n"/>
      <c r="E145" s="11" t="inlineStr">
        <is>
          <t>ندارد</t>
        </is>
      </c>
      <c r="F145" s="11" t="inlineStr">
        <is>
          <t>-</t>
        </is>
      </c>
      <c r="G145" s="10" t="n">
        <v>3205</v>
      </c>
      <c r="H145" s="8" t="n"/>
      <c r="I145" s="10">
        <f>SUMIF('جزئیات BOM'!$G$4:$G$607,A145,'جزئیات BOM'!$S$4:$S$607)</f>
        <v>1500</v>
      </c>
      <c r="J145" s="10">
        <f>SUMIF('جزئیات BOM'!$G$4:$G$607,A145,'جزئیات BOM'!$T$4:$T$607)</f>
        <v>0</v>
      </c>
      <c r="K145" s="10">
        <f>ROUND(G145-I145,10)</f>
        <v>1705</v>
      </c>
      <c r="L145" s="10">
        <f>ROUNDUP(MAX(0,ROUND(J145-G145,10)),0)</f>
        <v>0</v>
      </c>
      <c r="M145" s="10" t="n">
        <v>0</v>
      </c>
      <c r="N145" s="11" t="inlineStr">
        <is>
          <t>ثبت عددی</t>
        </is>
      </c>
      <c r="O145" s="11" t="inlineStr">
        <is>
          <t>عدد(شمارشی)</t>
        </is>
      </c>
      <c r="P145" s="11" t="inlineStr"/>
      <c r="Q145" s="13" t="n"/>
      <c r="R145" s="13" t="n"/>
    </row>
    <row r="146" ht="20" customHeight="1">
      <c r="A146" s="5" t="n">
        <v>1100454</v>
      </c>
      <c r="B146" s="6" t="inlineStr">
        <is>
          <t>PCB PW DSM</t>
        </is>
      </c>
      <c r="C146" s="7">
        <f>ROUNDUP(MAX(0,ROUND(I146+J146-G146,10)),0)</f>
        <v>0</v>
      </c>
      <c r="D146" s="8" t="n"/>
      <c r="E146" s="6" t="inlineStr">
        <is>
          <t>ندارد</t>
        </is>
      </c>
      <c r="F146" s="6" t="inlineStr">
        <is>
          <t>-</t>
        </is>
      </c>
      <c r="G146" s="5" t="n">
        <v>2000</v>
      </c>
      <c r="H146" s="8" t="n"/>
      <c r="I146" s="5">
        <f>SUMIF('جزئیات BOM'!$G$4:$G$607,A146,'جزئیات BOM'!$S$4:$S$607)</f>
        <v>1000</v>
      </c>
      <c r="J146" s="5">
        <f>SUMIF('جزئیات BOM'!$G$4:$G$607,A146,'جزئیات BOM'!$T$4:$T$607)</f>
        <v>0</v>
      </c>
      <c r="K146" s="5">
        <f>ROUND(G146-I146,10)</f>
        <v>1000</v>
      </c>
      <c r="L146" s="5">
        <f>ROUNDUP(MAX(0,ROUND(J146-G146,10)),0)</f>
        <v>0</v>
      </c>
      <c r="M146" s="5" t="n">
        <v>0</v>
      </c>
      <c r="N146" s="6" t="inlineStr">
        <is>
          <t>ثبت عددی</t>
        </is>
      </c>
      <c r="O146" s="6" t="inlineStr">
        <is>
          <t>عدد</t>
        </is>
      </c>
      <c r="P146" s="6" t="inlineStr"/>
      <c r="Q146" s="9" t="n"/>
      <c r="R146" s="9" t="n"/>
    </row>
    <row r="147" ht="20" customHeight="1">
      <c r="A147" s="10" t="n">
        <v>1101035</v>
      </c>
      <c r="B147" s="11" t="inlineStr">
        <is>
          <t>Resistor 10,1%,1/10W</t>
        </is>
      </c>
      <c r="C147" s="12">
        <f>ROUNDUP(MAX(0,ROUND(I147+J147-G147,10)),0)</f>
        <v>0</v>
      </c>
      <c r="D147" s="8" t="n"/>
      <c r="E147" s="11" t="inlineStr">
        <is>
          <t>ندارد</t>
        </is>
      </c>
      <c r="F147" s="11" t="inlineStr">
        <is>
          <t>-</t>
        </is>
      </c>
      <c r="G147" s="10" t="n">
        <v>4718</v>
      </c>
      <c r="H147" s="8" t="n"/>
      <c r="I147" s="10">
        <f>SUMIF('جزئیات BOM'!$G$4:$G$607,A147,'جزئیات BOM'!$S$4:$S$607)</f>
        <v>1500</v>
      </c>
      <c r="J147" s="10">
        <f>SUMIF('جزئیات BOM'!$G$4:$G$607,A147,'جزئیات BOM'!$T$4:$T$607)</f>
        <v>0</v>
      </c>
      <c r="K147" s="10">
        <f>ROUND(G147-I147,10)</f>
        <v>3218</v>
      </c>
      <c r="L147" s="10">
        <f>ROUNDUP(MAX(0,ROUND(J147-G147,10)),0)</f>
        <v>0</v>
      </c>
      <c r="M147" s="10" t="n">
        <v>0</v>
      </c>
      <c r="N147" s="11" t="inlineStr">
        <is>
          <t>ثبت عددی</t>
        </is>
      </c>
      <c r="O147" s="11" t="inlineStr">
        <is>
          <t>عدد</t>
        </is>
      </c>
      <c r="P147" s="11" t="inlineStr"/>
      <c r="Q147" s="13" t="n"/>
      <c r="R147" s="13" t="n"/>
    </row>
    <row r="148" ht="20" customHeight="1">
      <c r="A148" s="5" t="n">
        <v>1101036</v>
      </c>
      <c r="B148" s="6" t="inlineStr">
        <is>
          <t>Resistor 100,5%,1/10W</t>
        </is>
      </c>
      <c r="C148" s="7">
        <f>ROUNDUP(MAX(0,ROUND(I148+J148-G148,10)),0)</f>
        <v>0</v>
      </c>
      <c r="D148" s="8" t="n"/>
      <c r="E148" s="6" t="inlineStr">
        <is>
          <t>دارد</t>
        </is>
      </c>
      <c r="F148" s="6" t="inlineStr">
        <is>
          <t>1</t>
        </is>
      </c>
      <c r="G148" s="5" t="n">
        <v>54826</v>
      </c>
      <c r="H148" s="8" t="n"/>
      <c r="I148" s="5">
        <f>SUMIF('جزئیات BOM'!$G$4:$G$607,A148,'جزئیات BOM'!$S$4:$S$607)</f>
        <v>19775</v>
      </c>
      <c r="J148" s="5">
        <f>SUMIF('جزئیات BOM'!$G$4:$G$607,A148,'جزئیات BOM'!$T$4:$T$607)</f>
        <v>14400</v>
      </c>
      <c r="K148" s="5">
        <f>ROUND(G148-I148,10)</f>
        <v>35051</v>
      </c>
      <c r="L148" s="5">
        <f>ROUNDUP(MAX(0,ROUND(J148-G148,10)),0)</f>
        <v>0</v>
      </c>
      <c r="M148" s="5" t="n">
        <v>0</v>
      </c>
      <c r="N148" s="6" t="inlineStr">
        <is>
          <t>ثبت عددی</t>
        </is>
      </c>
      <c r="O148" s="6" t="inlineStr">
        <is>
          <t>عدد</t>
        </is>
      </c>
      <c r="P148" s="6" t="inlineStr">
        <is>
          <t>سهم جایگزین طبق BOM؛ نیازمند تأیید</t>
        </is>
      </c>
      <c r="Q148" s="9" t="n"/>
      <c r="R148" s="9" t="n"/>
    </row>
    <row r="149" ht="20" customHeight="1">
      <c r="A149" s="10" t="n">
        <v>1101039</v>
      </c>
      <c r="B149" s="11" t="inlineStr">
        <is>
          <t>Resistor 1.5K,5%,1/10W</t>
        </is>
      </c>
      <c r="C149" s="12">
        <f>ROUNDUP(MAX(0,ROUND(I149+J149-G149,10)),0)</f>
        <v>0</v>
      </c>
      <c r="D149" s="8" t="n"/>
      <c r="E149" s="11" t="inlineStr">
        <is>
          <t>دارد</t>
        </is>
      </c>
      <c r="F149" s="11" t="inlineStr">
        <is>
          <t>1</t>
        </is>
      </c>
      <c r="G149" s="10" t="n">
        <v>20092</v>
      </c>
      <c r="H149" s="8" t="n"/>
      <c r="I149" s="10">
        <f>SUMIF('جزئیات BOM'!$G$4:$G$607,A149,'جزئیات BOM'!$S$4:$S$607)</f>
        <v>3810</v>
      </c>
      <c r="J149" s="10">
        <f>SUMIF('جزئیات BOM'!$G$4:$G$607,A149,'جزئیات BOM'!$T$4:$T$607)</f>
        <v>1920</v>
      </c>
      <c r="K149" s="10">
        <f>ROUND(G149-I149,10)</f>
        <v>16282</v>
      </c>
      <c r="L149" s="10">
        <f>ROUNDUP(MAX(0,ROUND(J149-G149,10)),0)</f>
        <v>0</v>
      </c>
      <c r="M149" s="10" t="n">
        <v>0</v>
      </c>
      <c r="N149" s="11" t="inlineStr">
        <is>
          <t>ثبت عددی</t>
        </is>
      </c>
      <c r="O149" s="11" t="inlineStr">
        <is>
          <t>عدد</t>
        </is>
      </c>
      <c r="P149" s="11" t="inlineStr">
        <is>
          <t>سهم جایگزین طبق BOM؛ نیازمند تأیید</t>
        </is>
      </c>
      <c r="Q149" s="13" t="n"/>
      <c r="R149" s="13" t="n"/>
    </row>
    <row r="150" ht="20" customHeight="1">
      <c r="A150" s="5" t="n">
        <v>1101041</v>
      </c>
      <c r="B150" s="6" t="inlineStr">
        <is>
          <t>Resistor 2.2K,5%,1/10W</t>
        </is>
      </c>
      <c r="C150" s="7">
        <f>ROUNDUP(MAX(0,ROUND(I150+J150-G150,10)),0)</f>
        <v>0</v>
      </c>
      <c r="D150" s="8" t="n"/>
      <c r="E150" s="6" t="inlineStr">
        <is>
          <t>ندارد</t>
        </is>
      </c>
      <c r="F150" s="6" t="inlineStr">
        <is>
          <t>-</t>
        </is>
      </c>
      <c r="G150" s="5" t="n">
        <v>36349</v>
      </c>
      <c r="H150" s="8" t="n"/>
      <c r="I150" s="5">
        <f>SUMIF('جزئیات BOM'!$G$4:$G$607,A150,'جزئیات BOM'!$S$4:$S$607)</f>
        <v>19220</v>
      </c>
      <c r="J150" s="5">
        <f>SUMIF('جزئیات BOM'!$G$4:$G$607,A150,'جزئیات BOM'!$T$4:$T$607)</f>
        <v>4640</v>
      </c>
      <c r="K150" s="5">
        <f>ROUND(G150-I150,10)</f>
        <v>17129</v>
      </c>
      <c r="L150" s="5">
        <f>ROUNDUP(MAX(0,ROUND(J150-G150,10)),0)</f>
        <v>0</v>
      </c>
      <c r="M150" s="5" t="n">
        <v>0</v>
      </c>
      <c r="N150" s="6" t="inlineStr">
        <is>
          <t>ثبت عددی</t>
        </is>
      </c>
      <c r="O150" s="6" t="inlineStr">
        <is>
          <t>عدد</t>
        </is>
      </c>
      <c r="P150" s="6" t="inlineStr"/>
      <c r="Q150" s="9" t="n"/>
      <c r="R150" s="9" t="n"/>
    </row>
    <row r="151" ht="20" customHeight="1">
      <c r="A151" s="10" t="n">
        <v>1101045</v>
      </c>
      <c r="B151" s="11" t="inlineStr">
        <is>
          <t>Resistor 5.6K,5%,1/10W</t>
        </is>
      </c>
      <c r="C151" s="12">
        <f>ROUNDUP(MAX(0,ROUND(I151+J151-G151,10)),0)</f>
        <v>0</v>
      </c>
      <c r="D151" s="8" t="n"/>
      <c r="E151" s="11" t="inlineStr">
        <is>
          <t>ندارد</t>
        </is>
      </c>
      <c r="F151" s="11" t="inlineStr">
        <is>
          <t>-</t>
        </is>
      </c>
      <c r="G151" s="10" t="n">
        <v>9127</v>
      </c>
      <c r="H151" s="8" t="n"/>
      <c r="I151" s="10">
        <f>SUMIF('جزئیات BOM'!$G$4:$G$607,A151,'جزئیات BOM'!$S$4:$S$607)</f>
        <v>1680</v>
      </c>
      <c r="J151" s="10">
        <f>SUMIF('جزئیات BOM'!$G$4:$G$607,A151,'جزئیات BOM'!$T$4:$T$607)</f>
        <v>360</v>
      </c>
      <c r="K151" s="10">
        <f>ROUND(G151-I151,10)</f>
        <v>7447</v>
      </c>
      <c r="L151" s="10">
        <f>ROUNDUP(MAX(0,ROUND(J151-G151,10)),0)</f>
        <v>0</v>
      </c>
      <c r="M151" s="10" t="n">
        <v>0</v>
      </c>
      <c r="N151" s="11" t="inlineStr">
        <is>
          <t>ثبت عددی</t>
        </is>
      </c>
      <c r="O151" s="11" t="inlineStr">
        <is>
          <t>عدد</t>
        </is>
      </c>
      <c r="P151" s="11" t="inlineStr"/>
      <c r="Q151" s="13" t="n"/>
      <c r="R151" s="13" t="n"/>
    </row>
    <row r="152" ht="20" customHeight="1">
      <c r="A152" s="5" t="n">
        <v>1101071</v>
      </c>
      <c r="B152" s="6" t="inlineStr">
        <is>
          <t>Resistor NTC, 10KOHMS, 1%, SMD</t>
        </is>
      </c>
      <c r="C152" s="7">
        <f>ROUNDUP(MAX(0,ROUND(I152+J152-G152,10)),0)</f>
        <v>0</v>
      </c>
      <c r="D152" s="8" t="n"/>
      <c r="E152" s="6" t="inlineStr">
        <is>
          <t>ندارد</t>
        </is>
      </c>
      <c r="F152" s="6" t="inlineStr">
        <is>
          <t>-</t>
        </is>
      </c>
      <c r="G152" s="5" t="n">
        <v>6408</v>
      </c>
      <c r="H152" s="8" t="n"/>
      <c r="I152" s="5">
        <f>SUMIF('جزئیات BOM'!$G$4:$G$607,A152,'جزئیات BOM'!$S$4:$S$607)</f>
        <v>1500</v>
      </c>
      <c r="J152" s="5">
        <f>SUMIF('جزئیات BOM'!$G$4:$G$607,A152,'جزئیات BOM'!$T$4:$T$607)</f>
        <v>0</v>
      </c>
      <c r="K152" s="5">
        <f>ROUND(G152-I152,10)</f>
        <v>4908</v>
      </c>
      <c r="L152" s="5">
        <f>ROUNDUP(MAX(0,ROUND(J152-G152,10)),0)</f>
        <v>0</v>
      </c>
      <c r="M152" s="5" t="n">
        <v>0</v>
      </c>
      <c r="N152" s="6" t="inlineStr">
        <is>
          <t>ثبت عددی</t>
        </is>
      </c>
      <c r="O152" s="6" t="inlineStr">
        <is>
          <t>عدد(شمارشی)</t>
        </is>
      </c>
      <c r="P152" s="6" t="inlineStr"/>
      <c r="Q152" s="9" t="n"/>
      <c r="R152" s="9" t="n"/>
    </row>
    <row r="153" ht="20" customHeight="1">
      <c r="A153" s="10" t="n">
        <v>1101075</v>
      </c>
      <c r="B153" s="11" t="inlineStr">
        <is>
          <t>Resistor,2.7K,1%,1/16W</t>
        </is>
      </c>
      <c r="C153" s="12">
        <f>ROUNDUP(MAX(0,ROUND(I153+J153-G153,10)),0)</f>
        <v>0</v>
      </c>
      <c r="D153" s="8" t="n"/>
      <c r="E153" s="11" t="inlineStr">
        <is>
          <t>ندارد</t>
        </is>
      </c>
      <c r="F153" s="11" t="inlineStr">
        <is>
          <t>-</t>
        </is>
      </c>
      <c r="G153" s="10" t="n">
        <v>30064</v>
      </c>
      <c r="H153" s="8" t="n"/>
      <c r="I153" s="10">
        <f>SUMIF('جزئیات BOM'!$G$4:$G$607,A153,'جزئیات BOM'!$S$4:$S$607)</f>
        <v>6650</v>
      </c>
      <c r="J153" s="10">
        <f>SUMIF('جزئیات BOM'!$G$4:$G$607,A153,'جزئیات BOM'!$T$4:$T$607)</f>
        <v>4800</v>
      </c>
      <c r="K153" s="10">
        <f>ROUND(G153-I153,10)</f>
        <v>23414</v>
      </c>
      <c r="L153" s="10">
        <f>ROUNDUP(MAX(0,ROUND(J153-G153,10)),0)</f>
        <v>0</v>
      </c>
      <c r="M153" s="10" t="n">
        <v>0</v>
      </c>
      <c r="N153" s="11" t="inlineStr">
        <is>
          <t>ثبت عددی</t>
        </is>
      </c>
      <c r="O153" s="11" t="inlineStr">
        <is>
          <t>عدد(شمارشی)</t>
        </is>
      </c>
      <c r="P153" s="11" t="inlineStr"/>
      <c r="Q153" s="13" t="n"/>
      <c r="R153" s="13" t="n"/>
    </row>
    <row r="154" ht="20" customHeight="1">
      <c r="A154" s="5" t="n">
        <v>1101077</v>
      </c>
      <c r="B154" s="6" t="inlineStr">
        <is>
          <t>Resistor,390K,1%,1/16W</t>
        </is>
      </c>
      <c r="C154" s="7">
        <f>ROUNDUP(MAX(0,ROUND(I154+J154-G154,10)),0)</f>
        <v>0</v>
      </c>
      <c r="D154" s="8" t="n"/>
      <c r="E154" s="6" t="inlineStr">
        <is>
          <t>ندارد</t>
        </is>
      </c>
      <c r="F154" s="6" t="inlineStr">
        <is>
          <t>-</t>
        </is>
      </c>
      <c r="G154" s="5" t="n">
        <v>7206</v>
      </c>
      <c r="H154" s="8" t="n"/>
      <c r="I154" s="5">
        <f>SUMIF('جزئیات BOM'!$G$4:$G$607,A154,'جزئیات BOM'!$S$4:$S$607)</f>
        <v>2800</v>
      </c>
      <c r="J154" s="5">
        <f>SUMIF('جزئیات BOM'!$G$4:$G$607,A154,'جزئیات BOM'!$T$4:$T$607)</f>
        <v>2400</v>
      </c>
      <c r="K154" s="5">
        <f>ROUND(G154-I154,10)</f>
        <v>4406</v>
      </c>
      <c r="L154" s="5">
        <f>ROUNDUP(MAX(0,ROUND(J154-G154,10)),0)</f>
        <v>0</v>
      </c>
      <c r="M154" s="5" t="n">
        <v>0</v>
      </c>
      <c r="N154" s="6" t="inlineStr">
        <is>
          <t>ثبت عددی</t>
        </is>
      </c>
      <c r="O154" s="6" t="inlineStr">
        <is>
          <t>عدد(شمارشی)</t>
        </is>
      </c>
      <c r="P154" s="6" t="inlineStr"/>
      <c r="Q154" s="9" t="n"/>
      <c r="R154" s="9" t="n"/>
    </row>
    <row r="155" ht="20" customHeight="1">
      <c r="A155" s="10" t="n">
        <v>1101080</v>
      </c>
      <c r="B155" s="11" t="inlineStr">
        <is>
          <t>Resistor,6.2K,5%,1/16W</t>
        </is>
      </c>
      <c r="C155" s="12">
        <f>ROUNDUP(MAX(0,ROUND(I155+J155-G155,10)),0)</f>
        <v>0</v>
      </c>
      <c r="D155" s="8" t="n"/>
      <c r="E155" s="11" t="inlineStr">
        <is>
          <t>ندارد</t>
        </is>
      </c>
      <c r="F155" s="11" t="inlineStr">
        <is>
          <t>-</t>
        </is>
      </c>
      <c r="G155" s="10" t="n">
        <v>3603</v>
      </c>
      <c r="H155" s="8" t="n"/>
      <c r="I155" s="10">
        <f>SUMIF('جزئیات BOM'!$G$4:$G$607,A155,'جزئیات BOM'!$S$4:$S$607)</f>
        <v>1400</v>
      </c>
      <c r="J155" s="10">
        <f>SUMIF('جزئیات BOM'!$G$4:$G$607,A155,'جزئیات BOM'!$T$4:$T$607)</f>
        <v>1200</v>
      </c>
      <c r="K155" s="10">
        <f>ROUND(G155-I155,10)</f>
        <v>2203</v>
      </c>
      <c r="L155" s="10">
        <f>ROUNDUP(MAX(0,ROUND(J155-G155,10)),0)</f>
        <v>0</v>
      </c>
      <c r="M155" s="10" t="n">
        <v>0</v>
      </c>
      <c r="N155" s="11" t="inlineStr">
        <is>
          <t>ثبت عددی</t>
        </is>
      </c>
      <c r="O155" s="11" t="inlineStr">
        <is>
          <t>عدد(شمارشی)</t>
        </is>
      </c>
      <c r="P155" s="11" t="inlineStr"/>
      <c r="Q155" s="13" t="n"/>
      <c r="R155" s="13" t="n"/>
    </row>
    <row r="156" ht="20" customHeight="1">
      <c r="A156" s="5" t="n">
        <v>1101081</v>
      </c>
      <c r="B156" s="6" t="inlineStr">
        <is>
          <t>Resistor,6.8,5%,1/16W</t>
        </is>
      </c>
      <c r="C156" s="7">
        <f>ROUNDUP(MAX(0,ROUND(I156+J156-G156,10)),0)</f>
        <v>0</v>
      </c>
      <c r="D156" s="8" t="n"/>
      <c r="E156" s="6" t="inlineStr">
        <is>
          <t>ندارد</t>
        </is>
      </c>
      <c r="F156" s="6" t="inlineStr">
        <is>
          <t>-</t>
        </is>
      </c>
      <c r="G156" s="5" t="n">
        <v>7206</v>
      </c>
      <c r="H156" s="8" t="n"/>
      <c r="I156" s="5">
        <f>SUMIF('جزئیات BOM'!$G$4:$G$607,A156,'جزئیات BOM'!$S$4:$S$607)</f>
        <v>2800</v>
      </c>
      <c r="J156" s="5">
        <f>SUMIF('جزئیات BOM'!$G$4:$G$607,A156,'جزئیات BOM'!$T$4:$T$607)</f>
        <v>2400</v>
      </c>
      <c r="K156" s="5">
        <f>ROUND(G156-I156,10)</f>
        <v>4406</v>
      </c>
      <c r="L156" s="5">
        <f>ROUNDUP(MAX(0,ROUND(J156-G156,10)),0)</f>
        <v>0</v>
      </c>
      <c r="M156" s="5" t="n">
        <v>0</v>
      </c>
      <c r="N156" s="6" t="inlineStr">
        <is>
          <t>ثبت عددی</t>
        </is>
      </c>
      <c r="O156" s="6" t="inlineStr">
        <is>
          <t>عدد(شمارشی)</t>
        </is>
      </c>
      <c r="P156" s="6" t="inlineStr"/>
      <c r="Q156" s="9" t="n"/>
      <c r="R156" s="9" t="n"/>
    </row>
    <row r="157" ht="20" customHeight="1">
      <c r="A157" s="10" t="n">
        <v>1101107</v>
      </c>
      <c r="B157" s="11" t="inlineStr">
        <is>
          <t>Resistor,330,5%,1/10W</t>
        </is>
      </c>
      <c r="C157" s="12">
        <f>ROUNDUP(MAX(0,ROUND(I157+J157-G157,10)),0)</f>
        <v>0</v>
      </c>
      <c r="D157" s="8" t="n"/>
      <c r="E157" s="11" t="inlineStr">
        <is>
          <t>ندارد</t>
        </is>
      </c>
      <c r="F157" s="11" t="inlineStr">
        <is>
          <t>-</t>
        </is>
      </c>
      <c r="G157" s="10" t="n">
        <v>3863</v>
      </c>
      <c r="H157" s="8" t="n"/>
      <c r="I157" s="10">
        <f>SUMIF('جزئیات BOM'!$G$4:$G$607,A157,'جزئیات BOM'!$S$4:$S$607)</f>
        <v>1500</v>
      </c>
      <c r="J157" s="10">
        <f>SUMIF('جزئیات BOM'!$G$4:$G$607,A157,'جزئیات BOM'!$T$4:$T$607)</f>
        <v>0</v>
      </c>
      <c r="K157" s="10">
        <f>ROUND(G157-I157,10)</f>
        <v>2363</v>
      </c>
      <c r="L157" s="10">
        <f>ROUNDUP(MAX(0,ROUND(J157-G157,10)),0)</f>
        <v>0</v>
      </c>
      <c r="M157" s="10" t="n">
        <v>0</v>
      </c>
      <c r="N157" s="11" t="inlineStr">
        <is>
          <t>ثبت عددی</t>
        </is>
      </c>
      <c r="O157" s="11" t="inlineStr">
        <is>
          <t>عدد(شمارشی)</t>
        </is>
      </c>
      <c r="P157" s="11" t="inlineStr"/>
      <c r="Q157" s="13" t="n"/>
      <c r="R157" s="13" t="n"/>
    </row>
    <row r="158" ht="20" customHeight="1">
      <c r="A158" s="5" t="n">
        <v>1101108</v>
      </c>
      <c r="B158" s="6" t="inlineStr">
        <is>
          <t>Resistor, 10,5%,1W</t>
        </is>
      </c>
      <c r="C158" s="7">
        <f>ROUNDUP(MAX(0,ROUND(I158+J158-G158,10)),0)</f>
        <v>0</v>
      </c>
      <c r="D158" s="8" t="n"/>
      <c r="E158" s="6" t="inlineStr">
        <is>
          <t>ندارد</t>
        </is>
      </c>
      <c r="F158" s="6" t="inlineStr">
        <is>
          <t>-</t>
        </is>
      </c>
      <c r="G158" s="5" t="n">
        <v>6308</v>
      </c>
      <c r="H158" s="8" t="n"/>
      <c r="I158" s="5">
        <f>SUMIF('جزئیات BOM'!$G$4:$G$607,A158,'جزئیات BOM'!$S$4:$S$607)</f>
        <v>1500</v>
      </c>
      <c r="J158" s="5">
        <f>SUMIF('جزئیات BOM'!$G$4:$G$607,A158,'جزئیات BOM'!$T$4:$T$607)</f>
        <v>0</v>
      </c>
      <c r="K158" s="5">
        <f>ROUND(G158-I158,10)</f>
        <v>4808</v>
      </c>
      <c r="L158" s="5">
        <f>ROUNDUP(MAX(0,ROUND(J158-G158,10)),0)</f>
        <v>0</v>
      </c>
      <c r="M158" s="5" t="n">
        <v>0</v>
      </c>
      <c r="N158" s="6" t="inlineStr">
        <is>
          <t>ثبت عددی</t>
        </is>
      </c>
      <c r="O158" s="6" t="inlineStr">
        <is>
          <t>عدد(شمارشی)</t>
        </is>
      </c>
      <c r="P158" s="6" t="inlineStr"/>
      <c r="Q158" s="9" t="n"/>
      <c r="R158" s="9" t="n"/>
    </row>
    <row r="159" ht="20" customHeight="1">
      <c r="A159" s="10" t="n">
        <v>1101109</v>
      </c>
      <c r="B159" s="11" t="inlineStr">
        <is>
          <t>Resistor, 510,1%,1/10W</t>
        </is>
      </c>
      <c r="C159" s="12">
        <f>ROUNDUP(MAX(0,ROUND(I159+J159-G159,10)),0)</f>
        <v>0</v>
      </c>
      <c r="D159" s="8" t="n"/>
      <c r="E159" s="11" t="inlineStr">
        <is>
          <t>ندارد</t>
        </is>
      </c>
      <c r="F159" s="11" t="inlineStr">
        <is>
          <t>-</t>
        </is>
      </c>
      <c r="G159" s="10" t="n">
        <v>19740</v>
      </c>
      <c r="H159" s="8" t="n"/>
      <c r="I159" s="10">
        <f>SUMIF('جزئیات BOM'!$G$4:$G$607,A159,'جزئیات BOM'!$S$4:$S$607)</f>
        <v>7500</v>
      </c>
      <c r="J159" s="10">
        <f>SUMIF('جزئیات BOM'!$G$4:$G$607,A159,'جزئیات BOM'!$T$4:$T$607)</f>
        <v>0</v>
      </c>
      <c r="K159" s="10">
        <f>ROUND(G159-I159,10)</f>
        <v>12240</v>
      </c>
      <c r="L159" s="10">
        <f>ROUNDUP(MAX(0,ROUND(J159-G159,10)),0)</f>
        <v>0</v>
      </c>
      <c r="M159" s="10" t="n">
        <v>0</v>
      </c>
      <c r="N159" s="11" t="inlineStr">
        <is>
          <t>ثبت عددی</t>
        </is>
      </c>
      <c r="O159" s="11" t="inlineStr">
        <is>
          <t>عدد(شمارشی)</t>
        </is>
      </c>
      <c r="P159" s="11" t="inlineStr"/>
      <c r="Q159" s="13" t="n"/>
      <c r="R159" s="13" t="n"/>
    </row>
    <row r="160" ht="20" customHeight="1">
      <c r="A160" s="5" t="n">
        <v>1101110</v>
      </c>
      <c r="B160" s="6" t="inlineStr">
        <is>
          <t>Resistor, 240K,1%,1/10W</t>
        </is>
      </c>
      <c r="C160" s="7">
        <f>ROUNDUP(MAX(0,ROUND(I160+J160-G160,10)),0)</f>
        <v>0</v>
      </c>
      <c r="D160" s="8" t="n"/>
      <c r="E160" s="6" t="inlineStr">
        <is>
          <t>ندارد</t>
        </is>
      </c>
      <c r="F160" s="6" t="inlineStr">
        <is>
          <t>-</t>
        </is>
      </c>
      <c r="G160" s="5" t="n">
        <v>6148</v>
      </c>
      <c r="H160" s="8" t="n"/>
      <c r="I160" s="5">
        <f>SUMIF('جزئیات BOM'!$G$4:$G$607,A160,'جزئیات BOM'!$S$4:$S$607)</f>
        <v>1500</v>
      </c>
      <c r="J160" s="5">
        <f>SUMIF('جزئیات BOM'!$G$4:$G$607,A160,'جزئیات BOM'!$T$4:$T$607)</f>
        <v>0</v>
      </c>
      <c r="K160" s="5">
        <f>ROUND(G160-I160,10)</f>
        <v>4648</v>
      </c>
      <c r="L160" s="5">
        <f>ROUNDUP(MAX(0,ROUND(J160-G160,10)),0)</f>
        <v>0</v>
      </c>
      <c r="M160" s="5" t="n">
        <v>0</v>
      </c>
      <c r="N160" s="6" t="inlineStr">
        <is>
          <t>ثبت عددی</t>
        </is>
      </c>
      <c r="O160" s="6" t="inlineStr">
        <is>
          <t>عدد(شمارشی)</t>
        </is>
      </c>
      <c r="P160" s="6" t="inlineStr"/>
      <c r="Q160" s="9" t="n"/>
      <c r="R160" s="9" t="n"/>
    </row>
    <row r="161" ht="20" customHeight="1">
      <c r="A161" s="10" t="n">
        <v>1101112</v>
      </c>
      <c r="B161" s="11" t="inlineStr">
        <is>
          <t>Resistor, 200,5%,1/10W</t>
        </is>
      </c>
      <c r="C161" s="12">
        <f>ROUNDUP(MAX(0,ROUND(I161+J161-G161,10)),0)</f>
        <v>0</v>
      </c>
      <c r="D161" s="8" t="n"/>
      <c r="E161" s="11" t="inlineStr">
        <is>
          <t>ندارد</t>
        </is>
      </c>
      <c r="F161" s="11" t="inlineStr">
        <is>
          <t>-</t>
        </is>
      </c>
      <c r="G161" s="10" t="n">
        <v>5476</v>
      </c>
      <c r="H161" s="8" t="n"/>
      <c r="I161" s="10">
        <f>SUMIF('جزئیات BOM'!$G$4:$G$607,A161,'جزئیات BOM'!$S$4:$S$607)</f>
        <v>1500</v>
      </c>
      <c r="J161" s="10">
        <f>SUMIF('جزئیات BOM'!$G$4:$G$607,A161,'جزئیات BOM'!$T$4:$T$607)</f>
        <v>0</v>
      </c>
      <c r="K161" s="10">
        <f>ROUND(G161-I161,10)</f>
        <v>3976</v>
      </c>
      <c r="L161" s="10">
        <f>ROUNDUP(MAX(0,ROUND(J161-G161,10)),0)</f>
        <v>0</v>
      </c>
      <c r="M161" s="10" t="n">
        <v>0</v>
      </c>
      <c r="N161" s="11" t="inlineStr">
        <is>
          <t>ثبت عددی</t>
        </is>
      </c>
      <c r="O161" s="11" t="inlineStr">
        <is>
          <t>عدد(شمارشی)</t>
        </is>
      </c>
      <c r="P161" s="11" t="inlineStr"/>
      <c r="Q161" s="13" t="n"/>
      <c r="R161" s="13" t="n"/>
    </row>
    <row r="162" ht="20" customHeight="1">
      <c r="A162" s="5" t="n">
        <v>1101113</v>
      </c>
      <c r="B162" s="6" t="inlineStr">
        <is>
          <t>Resistor, 360,5%,1/10W</t>
        </is>
      </c>
      <c r="C162" s="7">
        <f>ROUNDUP(MAX(0,ROUND(I162+J162-G162,10)),0)</f>
        <v>0</v>
      </c>
      <c r="D162" s="8" t="n"/>
      <c r="E162" s="6" t="inlineStr">
        <is>
          <t>ندارد</t>
        </is>
      </c>
      <c r="F162" s="6" t="inlineStr">
        <is>
          <t>-</t>
        </is>
      </c>
      <c r="G162" s="5" t="n">
        <v>6088</v>
      </c>
      <c r="H162" s="8" t="n"/>
      <c r="I162" s="5">
        <f>SUMIF('جزئیات BOM'!$G$4:$G$607,A162,'جزئیات BOM'!$S$4:$S$607)</f>
        <v>1500</v>
      </c>
      <c r="J162" s="5">
        <f>SUMIF('جزئیات BOM'!$G$4:$G$607,A162,'جزئیات BOM'!$T$4:$T$607)</f>
        <v>0</v>
      </c>
      <c r="K162" s="5">
        <f>ROUND(G162-I162,10)</f>
        <v>4588</v>
      </c>
      <c r="L162" s="5">
        <f>ROUNDUP(MAX(0,ROUND(J162-G162,10)),0)</f>
        <v>0</v>
      </c>
      <c r="M162" s="5" t="n">
        <v>0</v>
      </c>
      <c r="N162" s="6" t="inlineStr">
        <is>
          <t>ثبت عددی</t>
        </is>
      </c>
      <c r="O162" s="6" t="inlineStr">
        <is>
          <t>عدد(شمارشی)</t>
        </is>
      </c>
      <c r="P162" s="6" t="inlineStr"/>
      <c r="Q162" s="9" t="n"/>
      <c r="R162" s="9" t="n"/>
    </row>
    <row r="163" ht="20" customHeight="1">
      <c r="A163" s="10" t="n">
        <v>1101114</v>
      </c>
      <c r="B163" s="11" t="inlineStr">
        <is>
          <t>Resistor, Shunt,0.03 Ohm,1%</t>
        </is>
      </c>
      <c r="C163" s="12">
        <f>ROUNDUP(MAX(0,ROUND(I163+J163-G163,10)),0)</f>
        <v>0</v>
      </c>
      <c r="D163" s="8" t="n"/>
      <c r="E163" s="11" t="inlineStr">
        <is>
          <t>ندارد</t>
        </is>
      </c>
      <c r="F163" s="11" t="inlineStr">
        <is>
          <t>-</t>
        </is>
      </c>
      <c r="G163" s="10" t="n">
        <v>20040</v>
      </c>
      <c r="H163" s="8" t="n"/>
      <c r="I163" s="10">
        <f>SUMIF('جزئیات BOM'!$G$4:$G$607,A163,'جزئیات BOM'!$S$4:$S$607)</f>
        <v>7500</v>
      </c>
      <c r="J163" s="10">
        <f>SUMIF('جزئیات BOM'!$G$4:$G$607,A163,'جزئیات BOM'!$T$4:$T$607)</f>
        <v>0</v>
      </c>
      <c r="K163" s="10">
        <f>ROUND(G163-I163,10)</f>
        <v>12540</v>
      </c>
      <c r="L163" s="10">
        <f>ROUNDUP(MAX(0,ROUND(J163-G163,10)),0)</f>
        <v>0</v>
      </c>
      <c r="M163" s="10" t="n">
        <v>0</v>
      </c>
      <c r="N163" s="11" t="inlineStr">
        <is>
          <t>ثبت عددی</t>
        </is>
      </c>
      <c r="O163" s="11" t="inlineStr">
        <is>
          <t>عدد(شمارشی)</t>
        </is>
      </c>
      <c r="P163" s="11" t="inlineStr"/>
      <c r="Q163" s="13" t="n"/>
      <c r="R163" s="13" t="n"/>
    </row>
    <row r="164" ht="20" customHeight="1">
      <c r="A164" s="5" t="n">
        <v>1101911</v>
      </c>
      <c r="B164" s="6" t="inlineStr">
        <is>
          <t>Diode SF20D600D2</t>
        </is>
      </c>
      <c r="C164" s="7">
        <f>ROUNDUP(MAX(0,ROUND(I164+J164-G164,10)),0)</f>
        <v>0</v>
      </c>
      <c r="D164" s="8" t="n"/>
      <c r="E164" s="6" t="inlineStr">
        <is>
          <t>ندارد</t>
        </is>
      </c>
      <c r="F164" s="6" t="inlineStr">
        <is>
          <t>-</t>
        </is>
      </c>
      <c r="G164" s="5" t="n">
        <v>3904</v>
      </c>
      <c r="H164" s="8" t="n"/>
      <c r="I164" s="5">
        <f>SUMIF('جزئیات BOM'!$G$4:$G$607,A164,'جزئیات BOM'!$S$4:$S$607)</f>
        <v>1500</v>
      </c>
      <c r="J164" s="5">
        <f>SUMIF('جزئیات BOM'!$G$4:$G$607,A164,'جزئیات BOM'!$T$4:$T$607)</f>
        <v>0</v>
      </c>
      <c r="K164" s="5">
        <f>ROUND(G164-I164,10)</f>
        <v>2404</v>
      </c>
      <c r="L164" s="5">
        <f>ROUNDUP(MAX(0,ROUND(J164-G164,10)),0)</f>
        <v>0</v>
      </c>
      <c r="M164" s="5" t="n">
        <v>0</v>
      </c>
      <c r="N164" s="6" t="inlineStr">
        <is>
          <t>ثبت عددی</t>
        </is>
      </c>
      <c r="O164" s="6" t="inlineStr">
        <is>
          <t>عدد(شمارشی)</t>
        </is>
      </c>
      <c r="P164" s="6" t="inlineStr"/>
      <c r="Q164" s="9" t="n"/>
      <c r="R164" s="9" t="n"/>
    </row>
    <row r="165" ht="20" customHeight="1">
      <c r="A165" s="10" t="n">
        <v>1101912</v>
      </c>
      <c r="B165" s="11" t="inlineStr">
        <is>
          <t>Diode MM1Z5245BH</t>
        </is>
      </c>
      <c r="C165" s="12">
        <f>ROUNDUP(MAX(0,ROUND(I165+J165-G165,10)),0)</f>
        <v>0</v>
      </c>
      <c r="D165" s="8" t="n"/>
      <c r="E165" s="11" t="inlineStr">
        <is>
          <t>ندارد</t>
        </is>
      </c>
      <c r="F165" s="11" t="inlineStr">
        <is>
          <t>-</t>
        </is>
      </c>
      <c r="G165" s="10" t="n">
        <v>14332</v>
      </c>
      <c r="H165" s="8" t="n"/>
      <c r="I165" s="10">
        <f>SUMIF('جزئیات BOM'!$G$4:$G$607,A165,'جزئیات BOM'!$S$4:$S$607)</f>
        <v>6000</v>
      </c>
      <c r="J165" s="10">
        <f>SUMIF('جزئیات BOM'!$G$4:$G$607,A165,'جزئیات BOM'!$T$4:$T$607)</f>
        <v>0</v>
      </c>
      <c r="K165" s="10">
        <f>ROUND(G165-I165,10)</f>
        <v>8332</v>
      </c>
      <c r="L165" s="10">
        <f>ROUNDUP(MAX(0,ROUND(J165-G165,10)),0)</f>
        <v>0</v>
      </c>
      <c r="M165" s="10" t="n">
        <v>0</v>
      </c>
      <c r="N165" s="11" t="inlineStr">
        <is>
          <t>ثبت عددی</t>
        </is>
      </c>
      <c r="O165" s="11" t="inlineStr">
        <is>
          <t>عدد(شمارشی)</t>
        </is>
      </c>
      <c r="P165" s="11" t="inlineStr"/>
      <c r="Q165" s="13" t="n"/>
      <c r="R165" s="13" t="n"/>
    </row>
    <row r="166" ht="20" customHeight="1">
      <c r="A166" s="5" t="n">
        <v>1101913</v>
      </c>
      <c r="B166" s="6" t="inlineStr">
        <is>
          <t>Diode BZT52-C13</t>
        </is>
      </c>
      <c r="C166" s="7">
        <f>ROUNDUP(MAX(0,ROUND(I166+J166-G166,10)),0)</f>
        <v>0</v>
      </c>
      <c r="D166" s="8" t="n"/>
      <c r="E166" s="6" t="inlineStr">
        <is>
          <t>ندارد</t>
        </is>
      </c>
      <c r="F166" s="6" t="inlineStr">
        <is>
          <t>-</t>
        </is>
      </c>
      <c r="G166" s="5" t="n">
        <v>5079</v>
      </c>
      <c r="H166" s="8" t="n"/>
      <c r="I166" s="5">
        <f>SUMIF('جزئیات BOM'!$G$4:$G$607,A166,'جزئیات BOM'!$S$4:$S$607)</f>
        <v>1500</v>
      </c>
      <c r="J166" s="5">
        <f>SUMIF('جزئیات BOM'!$G$4:$G$607,A166,'جزئیات BOM'!$T$4:$T$607)</f>
        <v>0</v>
      </c>
      <c r="K166" s="5">
        <f>ROUND(G166-I166,10)</f>
        <v>3579</v>
      </c>
      <c r="L166" s="5">
        <f>ROUNDUP(MAX(0,ROUND(J166-G166,10)),0)</f>
        <v>0</v>
      </c>
      <c r="M166" s="5" t="n">
        <v>0</v>
      </c>
      <c r="N166" s="6" t="inlineStr">
        <is>
          <t>ثبت عددی</t>
        </is>
      </c>
      <c r="O166" s="6" t="inlineStr">
        <is>
          <t>عدد(شمارشی)</t>
        </is>
      </c>
      <c r="P166" s="6" t="inlineStr"/>
      <c r="Q166" s="9" t="n"/>
      <c r="R166" s="9" t="n"/>
    </row>
    <row r="167" ht="20" customHeight="1">
      <c r="A167" s="10" t="n">
        <v>1101914</v>
      </c>
      <c r="B167" s="11" t="inlineStr">
        <is>
          <t>Diode 1N4148WS-E3-08</t>
        </is>
      </c>
      <c r="C167" s="12">
        <f>ROUNDUP(MAX(0,ROUND(I167+J167-G167,10)),0)</f>
        <v>0</v>
      </c>
      <c r="D167" s="8" t="n"/>
      <c r="E167" s="11" t="inlineStr">
        <is>
          <t>ندارد</t>
        </is>
      </c>
      <c r="F167" s="11" t="inlineStr">
        <is>
          <t>-</t>
        </is>
      </c>
      <c r="G167" s="10" t="n">
        <v>45501</v>
      </c>
      <c r="H167" s="8" t="n"/>
      <c r="I167" s="10">
        <f>SUMIF('جزئیات BOM'!$G$4:$G$607,A167,'جزئیات BOM'!$S$4:$S$607)</f>
        <v>21000</v>
      </c>
      <c r="J167" s="10">
        <f>SUMIF('جزئیات BOM'!$G$4:$G$607,A167,'جزئیات BOM'!$T$4:$T$607)</f>
        <v>0</v>
      </c>
      <c r="K167" s="10">
        <f>ROUND(G167-I167,10)</f>
        <v>24501</v>
      </c>
      <c r="L167" s="10">
        <f>ROUNDUP(MAX(0,ROUND(J167-G167,10)),0)</f>
        <v>0</v>
      </c>
      <c r="M167" s="10" t="n">
        <v>0</v>
      </c>
      <c r="N167" s="11" t="inlineStr">
        <is>
          <t>ثبت عددی</t>
        </is>
      </c>
      <c r="O167" s="11" t="inlineStr">
        <is>
          <t>عدد(شمارشی)</t>
        </is>
      </c>
      <c r="P167" s="11" t="inlineStr"/>
      <c r="Q167" s="13" t="n"/>
      <c r="R167" s="13" t="n"/>
    </row>
    <row r="168" ht="20" customHeight="1">
      <c r="A168" s="5" t="n">
        <v>1101922</v>
      </c>
      <c r="B168" s="6" t="inlineStr">
        <is>
          <t>Diode,Zener,3.3V,5%,0.5W</t>
        </is>
      </c>
      <c r="C168" s="7">
        <f>ROUNDUP(MAX(0,ROUND(I168+J168-G168,10)),0)</f>
        <v>0</v>
      </c>
      <c r="D168" s="8" t="n"/>
      <c r="E168" s="6" t="inlineStr">
        <is>
          <t>ندارد</t>
        </is>
      </c>
      <c r="F168" s="6" t="inlineStr">
        <is>
          <t>-</t>
        </is>
      </c>
      <c r="G168" s="5" t="n">
        <v>7060</v>
      </c>
      <c r="H168" s="8" t="n"/>
      <c r="I168" s="5">
        <f>SUMIF('جزئیات BOM'!$G$4:$G$607,A168,'جزئیات BOM'!$S$4:$S$607)</f>
        <v>1750</v>
      </c>
      <c r="J168" s="5">
        <f>SUMIF('جزئیات BOM'!$G$4:$G$607,A168,'جزئیات BOM'!$T$4:$T$607)</f>
        <v>1200</v>
      </c>
      <c r="K168" s="5">
        <f>ROUND(G168-I168,10)</f>
        <v>5310</v>
      </c>
      <c r="L168" s="5">
        <f>ROUNDUP(MAX(0,ROUND(J168-G168,10)),0)</f>
        <v>0</v>
      </c>
      <c r="M168" s="5" t="n">
        <v>0</v>
      </c>
      <c r="N168" s="6" t="inlineStr">
        <is>
          <t>ثبت عددی</t>
        </is>
      </c>
      <c r="O168" s="6" t="inlineStr">
        <is>
          <t>عدد(شمارشی)</t>
        </is>
      </c>
      <c r="P168" s="6" t="inlineStr"/>
      <c r="Q168" s="9" t="n"/>
      <c r="R168" s="9" t="n"/>
    </row>
    <row r="169" ht="20" customHeight="1">
      <c r="A169" s="10" t="n">
        <v>1102009</v>
      </c>
      <c r="B169" s="11" t="inlineStr">
        <is>
          <t>Capacitor 470P,50V,5%,NP0 0603</t>
        </is>
      </c>
      <c r="C169" s="12">
        <f>ROUNDUP(MAX(0,ROUND(I169+J169-G169,10)),0)</f>
        <v>0</v>
      </c>
      <c r="D169" s="8" t="n"/>
      <c r="E169" s="11" t="inlineStr">
        <is>
          <t>ندارد</t>
        </is>
      </c>
      <c r="F169" s="11" t="inlineStr">
        <is>
          <t>-</t>
        </is>
      </c>
      <c r="G169" s="10" t="n">
        <v>15043</v>
      </c>
      <c r="H169" s="8" t="n"/>
      <c r="I169" s="10">
        <f>SUMIF('جزئیات BOM'!$G$4:$G$607,A169,'جزئیات BOM'!$S$4:$S$607)</f>
        <v>6000</v>
      </c>
      <c r="J169" s="10">
        <f>SUMIF('جزئیات BOM'!$G$4:$G$607,A169,'جزئیات BOM'!$T$4:$T$607)</f>
        <v>0</v>
      </c>
      <c r="K169" s="10">
        <f>ROUND(G169-I169,10)</f>
        <v>9043</v>
      </c>
      <c r="L169" s="10">
        <f>ROUNDUP(MAX(0,ROUND(J169-G169,10)),0)</f>
        <v>0</v>
      </c>
      <c r="M169" s="10" t="n">
        <v>0</v>
      </c>
      <c r="N169" s="11" t="inlineStr">
        <is>
          <t>ثبت عددی</t>
        </is>
      </c>
      <c r="O169" s="11" t="inlineStr">
        <is>
          <t>عدد(شمارشی)</t>
        </is>
      </c>
      <c r="P169" s="11" t="inlineStr"/>
      <c r="Q169" s="13" t="n"/>
      <c r="R169" s="13" t="n"/>
    </row>
    <row r="170" ht="20" customHeight="1">
      <c r="A170" s="5" t="n">
        <v>1102015</v>
      </c>
      <c r="B170" s="6" t="inlineStr">
        <is>
          <t>Capacitor, X7R,4.7U,16V,10%</t>
        </is>
      </c>
      <c r="C170" s="7">
        <f>ROUNDUP(MAX(0,ROUND(I170+J170-G170,10)),0)</f>
        <v>0</v>
      </c>
      <c r="D170" s="8" t="n"/>
      <c r="E170" s="6" t="inlineStr">
        <is>
          <t>ندارد</t>
        </is>
      </c>
      <c r="F170" s="6" t="inlineStr">
        <is>
          <t>-</t>
        </is>
      </c>
      <c r="G170" s="5" t="n">
        <v>18074</v>
      </c>
      <c r="H170" s="8" t="n"/>
      <c r="I170" s="5">
        <f>SUMIF('جزئیات BOM'!$G$4:$G$607,A170,'جزئیات BOM'!$S$4:$S$607)</f>
        <v>7000</v>
      </c>
      <c r="J170" s="5">
        <f>SUMIF('جزئیات BOM'!$G$4:$G$607,A170,'جزئیات BOM'!$T$4:$T$607)</f>
        <v>6000</v>
      </c>
      <c r="K170" s="5">
        <f>ROUND(G170-I170,10)</f>
        <v>11074</v>
      </c>
      <c r="L170" s="5">
        <f>ROUNDUP(MAX(0,ROUND(J170-G170,10)),0)</f>
        <v>0</v>
      </c>
      <c r="M170" s="5" t="n">
        <v>0</v>
      </c>
      <c r="N170" s="6" t="inlineStr">
        <is>
          <t>ثبت عددی</t>
        </is>
      </c>
      <c r="O170" s="6" t="inlineStr">
        <is>
          <t>عدد(شمارشی)</t>
        </is>
      </c>
      <c r="P170" s="6" t="inlineStr"/>
      <c r="Q170" s="9" t="n"/>
      <c r="R170" s="9" t="n"/>
    </row>
    <row r="171" ht="20" customHeight="1">
      <c r="A171" s="10" t="n">
        <v>1102021</v>
      </c>
      <c r="B171" s="11" t="inlineStr">
        <is>
          <t>Capacitor, MLCC,10U,25V,20%,105°C</t>
        </is>
      </c>
      <c r="C171" s="12">
        <f>ROUNDUP(MAX(0,ROUND(I171+J171-G171,10)),0)</f>
        <v>0</v>
      </c>
      <c r="D171" s="8" t="n"/>
      <c r="E171" s="11" t="inlineStr">
        <is>
          <t>ندارد</t>
        </is>
      </c>
      <c r="F171" s="11" t="inlineStr">
        <is>
          <t>-</t>
        </is>
      </c>
      <c r="G171" s="10" t="n">
        <v>19648</v>
      </c>
      <c r="H171" s="8" t="n"/>
      <c r="I171" s="10">
        <f>SUMIF('جزئیات BOM'!$G$4:$G$607,A171,'جزئیات BOM'!$S$4:$S$607)</f>
        <v>9000</v>
      </c>
      <c r="J171" s="10">
        <f>SUMIF('جزئیات BOM'!$G$4:$G$607,A171,'جزئیات BOM'!$T$4:$T$607)</f>
        <v>0</v>
      </c>
      <c r="K171" s="10">
        <f>ROUND(G171-I171,10)</f>
        <v>10648</v>
      </c>
      <c r="L171" s="10">
        <f>ROUNDUP(MAX(0,ROUND(J171-G171,10)),0)</f>
        <v>0</v>
      </c>
      <c r="M171" s="10" t="n">
        <v>0</v>
      </c>
      <c r="N171" s="11" t="inlineStr">
        <is>
          <t>ثبت عددی</t>
        </is>
      </c>
      <c r="O171" s="11" t="inlineStr">
        <is>
          <t>عدد(شمارشی)</t>
        </is>
      </c>
      <c r="P171" s="11" t="inlineStr"/>
      <c r="Q171" s="13" t="n"/>
      <c r="R171" s="13" t="n"/>
    </row>
    <row r="172" ht="20" customHeight="1">
      <c r="A172" s="5" t="n">
        <v>1102022</v>
      </c>
      <c r="B172" s="6" t="inlineStr">
        <is>
          <t>Capacitor 100p, X7R,1000V,10%</t>
        </is>
      </c>
      <c r="C172" s="7">
        <f>ROUNDUP(MAX(0,ROUND(I172+J172-G172,10)),0)</f>
        <v>0</v>
      </c>
      <c r="D172" s="8" t="n"/>
      <c r="E172" s="6" t="inlineStr">
        <is>
          <t>دارد</t>
        </is>
      </c>
      <c r="F172" s="6" t="inlineStr">
        <is>
          <t>1</t>
        </is>
      </c>
      <c r="G172" s="5" t="n">
        <v>5208</v>
      </c>
      <c r="H172" s="8" t="n"/>
      <c r="I172" s="5">
        <f>SUMIF('جزئیات BOM'!$G$4:$G$607,A172,'جزئیات BOM'!$S$4:$S$607)</f>
        <v>1500</v>
      </c>
      <c r="J172" s="5">
        <f>SUMIF('جزئیات BOM'!$G$4:$G$607,A172,'جزئیات BOM'!$T$4:$T$607)</f>
        <v>0</v>
      </c>
      <c r="K172" s="5">
        <f>ROUND(G172-I172,10)</f>
        <v>3708</v>
      </c>
      <c r="L172" s="5">
        <f>ROUNDUP(MAX(0,ROUND(J172-G172,10)),0)</f>
        <v>0</v>
      </c>
      <c r="M172" s="5" t="n">
        <v>0</v>
      </c>
      <c r="N172" s="6" t="inlineStr">
        <is>
          <t>ثبت عددی</t>
        </is>
      </c>
      <c r="O172" s="6" t="inlineStr">
        <is>
          <t>عدد(شمارشی)</t>
        </is>
      </c>
      <c r="P172" s="6" t="inlineStr">
        <is>
          <t>سهم جایگزین طبق BOM؛ نیازمند تأیید | ۱۰۰٪ تکراری: اولویت اول</t>
        </is>
      </c>
      <c r="Q172" s="9" t="n"/>
      <c r="R172" s="9" t="n"/>
    </row>
    <row r="173" ht="20" customHeight="1">
      <c r="A173" s="10" t="n">
        <v>1102023</v>
      </c>
      <c r="B173" s="11" t="inlineStr">
        <is>
          <t>Capacitor 2.2N, X7R,50V,10%</t>
        </is>
      </c>
      <c r="C173" s="12">
        <f>ROUNDUP(MAX(0,ROUND(I173+J173-G173,10)),0)</f>
        <v>0</v>
      </c>
      <c r="D173" s="8" t="n"/>
      <c r="E173" s="11" t="inlineStr">
        <is>
          <t>ندارد</t>
        </is>
      </c>
      <c r="F173" s="11" t="inlineStr">
        <is>
          <t>-</t>
        </is>
      </c>
      <c r="G173" s="10" t="n">
        <v>6787</v>
      </c>
      <c r="H173" s="8" t="n"/>
      <c r="I173" s="10">
        <f>SUMIF('جزئیات BOM'!$G$4:$G$607,A173,'جزئیات BOM'!$S$4:$S$607)</f>
        <v>3000</v>
      </c>
      <c r="J173" s="10">
        <f>SUMIF('جزئیات BOM'!$G$4:$G$607,A173,'جزئیات BOM'!$T$4:$T$607)</f>
        <v>0</v>
      </c>
      <c r="K173" s="10">
        <f>ROUND(G173-I173,10)</f>
        <v>3787</v>
      </c>
      <c r="L173" s="10">
        <f>ROUNDUP(MAX(0,ROUND(J173-G173,10)),0)</f>
        <v>0</v>
      </c>
      <c r="M173" s="10" t="n">
        <v>0</v>
      </c>
      <c r="N173" s="11" t="inlineStr">
        <is>
          <t>ثبت عددی</t>
        </is>
      </c>
      <c r="O173" s="11" t="inlineStr">
        <is>
          <t>عدد(شمارشی)</t>
        </is>
      </c>
      <c r="P173" s="11" t="inlineStr"/>
      <c r="Q173" s="13" t="n"/>
      <c r="R173" s="13" t="n"/>
    </row>
    <row r="174" ht="20" customHeight="1">
      <c r="A174" s="5" t="n">
        <v>1102024</v>
      </c>
      <c r="B174" s="6" t="inlineStr">
        <is>
          <t>Capacitor 4.7uf ,25v, 10%, X5R</t>
        </is>
      </c>
      <c r="C174" s="7">
        <f>ROUNDUP(MAX(0,ROUND(I174+J174-G174,10)),0)</f>
        <v>0</v>
      </c>
      <c r="D174" s="8" t="n"/>
      <c r="E174" s="6" t="inlineStr">
        <is>
          <t>ندارد</t>
        </is>
      </c>
      <c r="F174" s="6" t="inlineStr">
        <is>
          <t>-</t>
        </is>
      </c>
      <c r="G174" s="5" t="n">
        <v>5108</v>
      </c>
      <c r="H174" s="8" t="n"/>
      <c r="I174" s="5">
        <f>SUMIF('جزئیات BOM'!$G$4:$G$607,A174,'جزئیات BOM'!$S$4:$S$607)</f>
        <v>1500</v>
      </c>
      <c r="J174" s="5">
        <f>SUMIF('جزئیات BOM'!$G$4:$G$607,A174,'جزئیات BOM'!$T$4:$T$607)</f>
        <v>0</v>
      </c>
      <c r="K174" s="5">
        <f>ROUND(G174-I174,10)</f>
        <v>3608</v>
      </c>
      <c r="L174" s="5">
        <f>ROUNDUP(MAX(0,ROUND(J174-G174,10)),0)</f>
        <v>0</v>
      </c>
      <c r="M174" s="5" t="n">
        <v>0</v>
      </c>
      <c r="N174" s="6" t="inlineStr">
        <is>
          <t>ثبت عددی</t>
        </is>
      </c>
      <c r="O174" s="6" t="inlineStr">
        <is>
          <t>عدد(شمارشی)</t>
        </is>
      </c>
      <c r="P174" s="6" t="inlineStr"/>
      <c r="Q174" s="9" t="n"/>
      <c r="R174" s="9" t="n"/>
    </row>
    <row r="175" ht="20" customHeight="1">
      <c r="A175" s="10" t="n">
        <v>1102028</v>
      </c>
      <c r="B175" s="11" t="inlineStr">
        <is>
          <t>Capacitor 100p, 630v, 1206</t>
        </is>
      </c>
      <c r="C175" s="12">
        <f>ROUNDUP(MAX(0,ROUND(I175+J175-G175,10)),0)</f>
        <v>0</v>
      </c>
      <c r="D175" s="8" t="n"/>
      <c r="E175" s="11" t="inlineStr">
        <is>
          <t>دارد</t>
        </is>
      </c>
      <c r="F175" s="11" t="inlineStr">
        <is>
          <t>2</t>
        </is>
      </c>
      <c r="G175" s="10" t="n">
        <v>0</v>
      </c>
      <c r="H175" s="8" t="n"/>
      <c r="I175" s="10">
        <f>SUMIF('جزئیات BOM'!$G$4:$G$607,A175,'جزئیات BOM'!$S$4:$S$607)</f>
        <v>0</v>
      </c>
      <c r="J175" s="10">
        <f>SUMIF('جزئیات BOM'!$G$4:$G$607,A175,'جزئیات BOM'!$T$4:$T$607)</f>
        <v>0</v>
      </c>
      <c r="K175" s="10">
        <f>ROUND(G175-I175,10)</f>
        <v>0</v>
      </c>
      <c r="L175" s="10">
        <f>ROUNDUP(MAX(0,ROUND(J175-G175,10)),0)</f>
        <v>0</v>
      </c>
      <c r="M175" s="10" t="n">
        <v>0</v>
      </c>
      <c r="N175" s="14" t="inlineStr">
        <is>
          <t>خالی در فایل؛ فرض صفر</t>
        </is>
      </c>
      <c r="O175" s="11" t="inlineStr">
        <is>
          <t>عدد(شمارشی)</t>
        </is>
      </c>
      <c r="P175" s="11" t="inlineStr">
        <is>
          <t>سهم جایگزین طبق BOM؛ نیازمند تأیید | ۱۰۰٪ تکراری: اولویت اول | موجودی نامشخص؛ صفر فرض شده</t>
        </is>
      </c>
      <c r="Q175" s="13" t="n"/>
      <c r="R175" s="13" t="n"/>
    </row>
    <row r="176" ht="20" customHeight="1">
      <c r="A176" s="5" t="n">
        <v>1103003</v>
      </c>
      <c r="B176" s="6" t="inlineStr">
        <is>
          <t>LED, GREEN JK-1608YGC</t>
        </is>
      </c>
      <c r="C176" s="7">
        <f>ROUNDUP(MAX(0,ROUND(I176+J176-G176,10)),0)</f>
        <v>0</v>
      </c>
      <c r="D176" s="8" t="n"/>
      <c r="E176" s="6" t="inlineStr">
        <is>
          <t>ندارد</t>
        </is>
      </c>
      <c r="F176" s="6" t="inlineStr">
        <is>
          <t>-</t>
        </is>
      </c>
      <c r="G176" s="5" t="n">
        <v>7386</v>
      </c>
      <c r="H176" s="8" t="n"/>
      <c r="I176" s="5">
        <f>SUMIF('جزئیات BOM'!$G$4:$G$607,A176,'جزئیات BOM'!$S$4:$S$607)</f>
        <v>3000</v>
      </c>
      <c r="J176" s="5">
        <f>SUMIF('جزئیات BOM'!$G$4:$G$607,A176,'جزئیات BOM'!$T$4:$T$607)</f>
        <v>0</v>
      </c>
      <c r="K176" s="5">
        <f>ROUND(G176-I176,10)</f>
        <v>4386</v>
      </c>
      <c r="L176" s="5">
        <f>ROUNDUP(MAX(0,ROUND(J176-G176,10)),0)</f>
        <v>0</v>
      </c>
      <c r="M176" s="5" t="n">
        <v>0</v>
      </c>
      <c r="N176" s="6" t="inlineStr">
        <is>
          <t>ثبت عددی</t>
        </is>
      </c>
      <c r="O176" s="6" t="inlineStr">
        <is>
          <t>عدد(شمارشی)</t>
        </is>
      </c>
      <c r="P176" s="6" t="inlineStr"/>
      <c r="Q176" s="9" t="n"/>
      <c r="R176" s="9" t="n"/>
    </row>
    <row r="177" ht="20" customHeight="1">
      <c r="A177" s="10" t="n">
        <v>1110009</v>
      </c>
      <c r="B177" s="11" t="inlineStr">
        <is>
          <t>Capacitor 12P,50V,RF TYPE,5%</t>
        </is>
      </c>
      <c r="C177" s="12">
        <f>ROUNDUP(MAX(0,ROUND(I177+J177-G177,10)),0)</f>
        <v>0</v>
      </c>
      <c r="D177" s="8" t="n"/>
      <c r="E177" s="11" t="inlineStr">
        <is>
          <t>ندارد</t>
        </is>
      </c>
      <c r="F177" s="11" t="inlineStr">
        <is>
          <t>-</t>
        </is>
      </c>
      <c r="G177" s="10" t="n">
        <v>5848</v>
      </c>
      <c r="H177" s="8" t="n"/>
      <c r="I177" s="10">
        <f>SUMIF('جزئیات BOM'!$G$4:$G$607,A177,'جزئیات BOM'!$S$4:$S$607)</f>
        <v>2100</v>
      </c>
      <c r="J177" s="10">
        <f>SUMIF('جزئیات BOM'!$G$4:$G$607,A177,'جزئیات BOM'!$T$4:$T$607)</f>
        <v>0</v>
      </c>
      <c r="K177" s="10">
        <f>ROUND(G177-I177,10)</f>
        <v>3748</v>
      </c>
      <c r="L177" s="10">
        <f>ROUNDUP(MAX(0,ROUND(J177-G177,10)),0)</f>
        <v>0</v>
      </c>
      <c r="M177" s="10" t="n">
        <v>0</v>
      </c>
      <c r="N177" s="11" t="inlineStr">
        <is>
          <t>ثبت عددی</t>
        </is>
      </c>
      <c r="O177" s="11" t="inlineStr">
        <is>
          <t>عدد</t>
        </is>
      </c>
      <c r="P177" s="11" t="inlineStr"/>
      <c r="Q177" s="13" t="n"/>
      <c r="R177" s="13" t="n"/>
    </row>
    <row r="178" ht="20" customHeight="1">
      <c r="A178" s="5" t="n">
        <v>1110011</v>
      </c>
      <c r="B178" s="6" t="inlineStr">
        <is>
          <t>Capacitor 100P, 50V, NPO, 5%</t>
        </is>
      </c>
      <c r="C178" s="7">
        <f>ROUNDUP(MAX(0,ROUND(I178+J178-G178,10)),0)</f>
        <v>0</v>
      </c>
      <c r="D178" s="8" t="n"/>
      <c r="E178" s="6" t="inlineStr">
        <is>
          <t>ندارد</t>
        </is>
      </c>
      <c r="F178" s="6" t="inlineStr">
        <is>
          <t>-</t>
        </is>
      </c>
      <c r="G178" s="5" t="n">
        <v>21186</v>
      </c>
      <c r="H178" s="8" t="n"/>
      <c r="I178" s="5">
        <f>SUMIF('جزئیات BOM'!$G$4:$G$607,A178,'جزئیات BOM'!$S$4:$S$607)</f>
        <v>7000</v>
      </c>
      <c r="J178" s="5">
        <f>SUMIF('جزئیات BOM'!$G$4:$G$607,A178,'جزئیات BOM'!$T$4:$T$607)</f>
        <v>0</v>
      </c>
      <c r="K178" s="5">
        <f>ROUND(G178-I178,10)</f>
        <v>14186</v>
      </c>
      <c r="L178" s="5">
        <f>ROUNDUP(MAX(0,ROUND(J178-G178,10)),0)</f>
        <v>0</v>
      </c>
      <c r="M178" s="5" t="n">
        <v>0</v>
      </c>
      <c r="N178" s="6" t="inlineStr">
        <is>
          <t>ثبت عددی</t>
        </is>
      </c>
      <c r="O178" s="6" t="inlineStr">
        <is>
          <t>عدد</t>
        </is>
      </c>
      <c r="P178" s="6" t="inlineStr"/>
      <c r="Q178" s="9" t="n"/>
      <c r="R178" s="9" t="n"/>
    </row>
    <row r="179" ht="20" customHeight="1">
      <c r="A179" s="10" t="n">
        <v>1110032</v>
      </c>
      <c r="B179" s="11" t="inlineStr">
        <is>
          <t>Capacitor-Electrolyte 100uf-16v-20%</t>
        </is>
      </c>
      <c r="C179" s="12">
        <f>ROUNDUP(MAX(0,ROUND(I179+J179-G179,10)),0)</f>
        <v>0</v>
      </c>
      <c r="D179" s="8" t="n"/>
      <c r="E179" s="11" t="inlineStr">
        <is>
          <t>دارد</t>
        </is>
      </c>
      <c r="F179" s="11" t="inlineStr">
        <is>
          <t>1</t>
        </is>
      </c>
      <c r="G179" s="10" t="n">
        <v>3912</v>
      </c>
      <c r="H179" s="8" t="n"/>
      <c r="I179" s="10">
        <f>SUMIF('جزئیات BOM'!$G$4:$G$607,A179,'جزئیات BOM'!$S$4:$S$607)</f>
        <v>700</v>
      </c>
      <c r="J179" s="10">
        <f>SUMIF('جزئیات BOM'!$G$4:$G$607,A179,'جزئیات BOM'!$T$4:$T$607)</f>
        <v>600</v>
      </c>
      <c r="K179" s="10">
        <f>ROUND(G179-I179,10)</f>
        <v>3212</v>
      </c>
      <c r="L179" s="10">
        <f>ROUNDUP(MAX(0,ROUND(J179-G179,10)),0)</f>
        <v>0</v>
      </c>
      <c r="M179" s="10" t="n">
        <v>0</v>
      </c>
      <c r="N179" s="11" t="inlineStr">
        <is>
          <t>ثبت عددی</t>
        </is>
      </c>
      <c r="O179" s="11" t="inlineStr">
        <is>
          <t>عدد</t>
        </is>
      </c>
      <c r="P179" s="11" t="inlineStr">
        <is>
          <t>سهم جایگزین طبق BOM؛ نیازمند تأیید</t>
        </is>
      </c>
      <c r="Q179" s="13" t="n"/>
      <c r="R179" s="13" t="n"/>
    </row>
    <row r="180" ht="20" customHeight="1">
      <c r="A180" s="5" t="n">
        <v>1110042</v>
      </c>
      <c r="B180" s="6" t="inlineStr">
        <is>
          <t>Capacitor 10N,50V,X7R,10%-</t>
        </is>
      </c>
      <c r="C180" s="7">
        <f>ROUNDUP(MAX(0,ROUND(I180+J180-G180,10)),0)</f>
        <v>0</v>
      </c>
      <c r="D180" s="8" t="n"/>
      <c r="E180" s="6" t="inlineStr">
        <is>
          <t>دارد</t>
        </is>
      </c>
      <c r="F180" s="6" t="inlineStr">
        <is>
          <t>1</t>
        </is>
      </c>
      <c r="G180" s="5" t="n">
        <v>20699</v>
      </c>
      <c r="H180" s="8" t="n"/>
      <c r="I180" s="5">
        <f>SUMIF('جزئیات BOM'!$G$4:$G$607,A180,'جزئیات BOM'!$S$4:$S$607)</f>
        <v>1000</v>
      </c>
      <c r="J180" s="5">
        <f>SUMIF('جزئیات BOM'!$G$4:$G$607,A180,'جزئیات BOM'!$T$4:$T$607)</f>
        <v>0</v>
      </c>
      <c r="K180" s="5">
        <f>ROUND(G180-I180,10)</f>
        <v>19699</v>
      </c>
      <c r="L180" s="5">
        <f>ROUNDUP(MAX(0,ROUND(J180-G180,10)),0)</f>
        <v>0</v>
      </c>
      <c r="M180" s="5" t="n">
        <v>0</v>
      </c>
      <c r="N180" s="6" t="inlineStr">
        <is>
          <t>ثبت عددی</t>
        </is>
      </c>
      <c r="O180" s="6" t="inlineStr">
        <is>
          <t>عدد</t>
        </is>
      </c>
      <c r="P180" s="6" t="inlineStr">
        <is>
          <t>سهم جایگزین طبق BOM؛ نیازمند تأیید</t>
        </is>
      </c>
      <c r="Q180" s="9" t="n"/>
      <c r="R180" s="9" t="n"/>
    </row>
    <row r="181" ht="20" customHeight="1">
      <c r="A181" s="10" t="n">
        <v>1110046</v>
      </c>
      <c r="B181" s="11" t="inlineStr">
        <is>
          <t>Capacitor 22N,50V,NPO,5%</t>
        </is>
      </c>
      <c r="C181" s="12">
        <f>ROUNDUP(MAX(0,ROUND(I181+J181-G181,10)),0)</f>
        <v>0</v>
      </c>
      <c r="D181" s="8" t="n"/>
      <c r="E181" s="11" t="inlineStr">
        <is>
          <t>ندارد</t>
        </is>
      </c>
      <c r="F181" s="11" t="inlineStr">
        <is>
          <t>-</t>
        </is>
      </c>
      <c r="G181" s="10" t="n">
        <v>6708</v>
      </c>
      <c r="H181" s="8" t="n"/>
      <c r="I181" s="10">
        <f>SUMIF('جزئیات BOM'!$G$4:$G$607,A181,'جزئیات BOM'!$S$4:$S$607)</f>
        <v>1500</v>
      </c>
      <c r="J181" s="10">
        <f>SUMIF('جزئیات BOM'!$G$4:$G$607,A181,'جزئیات BOM'!$T$4:$T$607)</f>
        <v>0</v>
      </c>
      <c r="K181" s="10">
        <f>ROUND(G181-I181,10)</f>
        <v>5208</v>
      </c>
      <c r="L181" s="10">
        <f>ROUNDUP(MAX(0,ROUND(J181-G181,10)),0)</f>
        <v>0</v>
      </c>
      <c r="M181" s="10" t="n">
        <v>0</v>
      </c>
      <c r="N181" s="11" t="inlineStr">
        <is>
          <t>ثبت عددی</t>
        </is>
      </c>
      <c r="O181" s="11" t="inlineStr">
        <is>
          <t>عدد</t>
        </is>
      </c>
      <c r="P181" s="11" t="inlineStr"/>
      <c r="Q181" s="13" t="n"/>
      <c r="R181" s="13" t="n"/>
    </row>
    <row r="182" ht="20" customHeight="1">
      <c r="A182" s="5" t="n">
        <v>1110050</v>
      </c>
      <c r="B182" s="6" t="inlineStr">
        <is>
          <t>Capacitor 47N, 50V, X7R, 10%</t>
        </is>
      </c>
      <c r="C182" s="7">
        <f>ROUNDUP(MAX(0,ROUND(I182+J182-G182,10)),0)</f>
        <v>0</v>
      </c>
      <c r="D182" s="8" t="n"/>
      <c r="E182" s="6" t="inlineStr">
        <is>
          <t>ندارد</t>
        </is>
      </c>
      <c r="F182" s="6" t="inlineStr">
        <is>
          <t>-</t>
        </is>
      </c>
      <c r="G182" s="5" t="n">
        <v>3913</v>
      </c>
      <c r="H182" s="8" t="n"/>
      <c r="I182" s="5">
        <f>SUMIF('جزئیات BOM'!$G$4:$G$607,A182,'جزئیات BOM'!$S$4:$S$607)</f>
        <v>1000</v>
      </c>
      <c r="J182" s="5">
        <f>SUMIF('جزئیات BOM'!$G$4:$G$607,A182,'جزئیات BOM'!$T$4:$T$607)</f>
        <v>0</v>
      </c>
      <c r="K182" s="5">
        <f>ROUND(G182-I182,10)</f>
        <v>2913</v>
      </c>
      <c r="L182" s="5">
        <f>ROUNDUP(MAX(0,ROUND(J182-G182,10)),0)</f>
        <v>0</v>
      </c>
      <c r="M182" s="5" t="n">
        <v>0</v>
      </c>
      <c r="N182" s="6" t="inlineStr">
        <is>
          <t>ثبت عددی</t>
        </is>
      </c>
      <c r="O182" s="6" t="inlineStr">
        <is>
          <t>عدد</t>
        </is>
      </c>
      <c r="P182" s="6" t="inlineStr"/>
      <c r="Q182" s="9" t="n"/>
      <c r="R182" s="9" t="n"/>
    </row>
    <row r="183" ht="20" customHeight="1">
      <c r="A183" s="10" t="n">
        <v>1110052</v>
      </c>
      <c r="B183" s="11" t="inlineStr">
        <is>
          <t>Capacitor 100N,50V,X7R,10%</t>
        </is>
      </c>
      <c r="C183" s="12">
        <f>ROUNDUP(MAX(0,ROUND(I183+J183-G183,10)),0)</f>
        <v>0</v>
      </c>
      <c r="D183" s="8" t="n"/>
      <c r="E183" s="11" t="inlineStr">
        <is>
          <t>دارد</t>
        </is>
      </c>
      <c r="F183" s="11" t="inlineStr">
        <is>
          <t>1</t>
        </is>
      </c>
      <c r="G183" s="10" t="n">
        <v>36245</v>
      </c>
      <c r="H183" s="8" t="n"/>
      <c r="I183" s="10">
        <f>SUMIF('جزئیات BOM'!$G$4:$G$607,A183,'جزئیات BOM'!$S$4:$S$607)</f>
        <v>7000</v>
      </c>
      <c r="J183" s="10">
        <f>SUMIF('جزئیات BOM'!$G$4:$G$607,A183,'جزئیات BOM'!$T$4:$T$607)</f>
        <v>0</v>
      </c>
      <c r="K183" s="10">
        <f>ROUND(G183-I183,10)</f>
        <v>29245</v>
      </c>
      <c r="L183" s="10">
        <f>ROUNDUP(MAX(0,ROUND(J183-G183,10)),0)</f>
        <v>0</v>
      </c>
      <c r="M183" s="10" t="n">
        <v>0</v>
      </c>
      <c r="N183" s="11" t="inlineStr">
        <is>
          <t>ثبت عددی</t>
        </is>
      </c>
      <c r="O183" s="11" t="inlineStr">
        <is>
          <t>عدد</t>
        </is>
      </c>
      <c r="P183" s="11" t="inlineStr">
        <is>
          <t>سهم جایگزین طبق BOM؛ نیازمند تأیید</t>
        </is>
      </c>
      <c r="Q183" s="13" t="n"/>
      <c r="R183" s="13" t="n"/>
    </row>
    <row r="184" ht="20" customHeight="1">
      <c r="A184" s="5" t="n">
        <v>1110058</v>
      </c>
      <c r="B184" s="6" t="inlineStr">
        <is>
          <t>Capacitor 470N,50V,X7R,10%</t>
        </is>
      </c>
      <c r="C184" s="7">
        <f>ROUNDUP(MAX(0,ROUND(I184+J184-G184,10)),0)</f>
        <v>0</v>
      </c>
      <c r="D184" s="8" t="n"/>
      <c r="E184" s="6" t="inlineStr">
        <is>
          <t>ندارد</t>
        </is>
      </c>
      <c r="F184" s="6" t="inlineStr">
        <is>
          <t>-</t>
        </is>
      </c>
      <c r="G184" s="5" t="n">
        <v>5708</v>
      </c>
      <c r="H184" s="8" t="n"/>
      <c r="I184" s="5">
        <f>SUMIF('جزئیات BOM'!$G$4:$G$607,A184,'جزئیات BOM'!$S$4:$S$607)</f>
        <v>1500</v>
      </c>
      <c r="J184" s="5">
        <f>SUMIF('جزئیات BOM'!$G$4:$G$607,A184,'جزئیات BOM'!$T$4:$T$607)</f>
        <v>0</v>
      </c>
      <c r="K184" s="5">
        <f>ROUND(G184-I184,10)</f>
        <v>4208</v>
      </c>
      <c r="L184" s="5">
        <f>ROUNDUP(MAX(0,ROUND(J184-G184,10)),0)</f>
        <v>0</v>
      </c>
      <c r="M184" s="5" t="n">
        <v>0</v>
      </c>
      <c r="N184" s="6" t="inlineStr">
        <is>
          <t>ثبت عددی</t>
        </is>
      </c>
      <c r="O184" s="6" t="inlineStr">
        <is>
          <t>عدد</t>
        </is>
      </c>
      <c r="P184" s="6" t="inlineStr"/>
      <c r="Q184" s="9" t="n"/>
      <c r="R184" s="9" t="n"/>
    </row>
    <row r="185" ht="20" customHeight="1">
      <c r="A185" s="10" t="n">
        <v>1110085</v>
      </c>
      <c r="B185" s="11" t="inlineStr">
        <is>
          <t>Capacitor 10nF,50V,NPO,5%</t>
        </is>
      </c>
      <c r="C185" s="12">
        <f>ROUNDUP(MAX(0,ROUND(I185+J185-G185,10)),0)</f>
        <v>0</v>
      </c>
      <c r="D185" s="8" t="n"/>
      <c r="E185" s="11" t="inlineStr">
        <is>
          <t>دارد</t>
        </is>
      </c>
      <c r="F185" s="11" t="inlineStr">
        <is>
          <t>2</t>
        </is>
      </c>
      <c r="G185" s="10" t="n">
        <v>2700</v>
      </c>
      <c r="H185" s="8" t="n"/>
      <c r="I185" s="10">
        <f>SUMIF('جزئیات BOM'!$G$4:$G$607,A185,'جزئیات BOM'!$S$4:$S$607)</f>
        <v>1000</v>
      </c>
      <c r="J185" s="10">
        <f>SUMIF('جزئیات BOM'!$G$4:$G$607,A185,'جزئیات BOM'!$T$4:$T$607)</f>
        <v>0</v>
      </c>
      <c r="K185" s="10">
        <f>ROUND(G185-I185,10)</f>
        <v>1700</v>
      </c>
      <c r="L185" s="10">
        <f>ROUNDUP(MAX(0,ROUND(J185-G185,10)),0)</f>
        <v>0</v>
      </c>
      <c r="M185" s="10" t="n">
        <v>0</v>
      </c>
      <c r="N185" s="11" t="inlineStr">
        <is>
          <t>ثبت عددی</t>
        </is>
      </c>
      <c r="O185" s="11" t="inlineStr">
        <is>
          <t>عدد</t>
        </is>
      </c>
      <c r="P185" s="11" t="inlineStr">
        <is>
          <t>سهم جایگزین طبق BOM؛ نیازمند تأیید</t>
        </is>
      </c>
      <c r="Q185" s="13" t="n"/>
      <c r="R185" s="13" t="n"/>
    </row>
    <row r="186" ht="20" customHeight="1">
      <c r="A186" s="5" t="n">
        <v>1110090</v>
      </c>
      <c r="B186" s="6" t="inlineStr">
        <is>
          <t>Capacitor 220uF,35V,20%,105C</t>
        </is>
      </c>
      <c r="C186" s="7">
        <f>ROUNDUP(MAX(0,ROUND(I186+J186-G186,10)),0)</f>
        <v>0</v>
      </c>
      <c r="D186" s="8" t="n"/>
      <c r="E186" s="6" t="inlineStr">
        <is>
          <t>دارد</t>
        </is>
      </c>
      <c r="F186" s="6" t="inlineStr">
        <is>
          <t>1</t>
        </is>
      </c>
      <c r="G186" s="5" t="n">
        <v>3482</v>
      </c>
      <c r="H186" s="8" t="n"/>
      <c r="I186" s="5">
        <f>SUMIF('جزئیات BOM'!$G$4:$G$607,A186,'جزئیات BOM'!$S$4:$S$607)</f>
        <v>1960</v>
      </c>
      <c r="J186" s="5">
        <f>SUMIF('جزئیات BOM'!$G$4:$G$607,A186,'جزئیات BOM'!$T$4:$T$607)</f>
        <v>1200</v>
      </c>
      <c r="K186" s="5">
        <f>ROUND(G186-I186,10)</f>
        <v>1522</v>
      </c>
      <c r="L186" s="5">
        <f>ROUNDUP(MAX(0,ROUND(J186-G186,10)),0)</f>
        <v>0</v>
      </c>
      <c r="M186" s="5" t="n">
        <v>2838</v>
      </c>
      <c r="N186" s="6" t="inlineStr">
        <is>
          <t>ثبت عددی</t>
        </is>
      </c>
      <c r="O186" s="6" t="inlineStr">
        <is>
          <t>عدد</t>
        </is>
      </c>
      <c r="P186" s="6" t="inlineStr">
        <is>
          <t>سهم جایگزین طبق BOM؛ نیازمند تأیید</t>
        </is>
      </c>
      <c r="Q186" s="9" t="n"/>
      <c r="R186" s="9" t="n"/>
    </row>
    <row r="187" ht="20" customHeight="1">
      <c r="A187" s="10" t="n">
        <v>1110099</v>
      </c>
      <c r="B187" s="11" t="inlineStr">
        <is>
          <t>Capacitor 22PF,50V,NPO,5%</t>
        </is>
      </c>
      <c r="C187" s="12">
        <f>ROUNDUP(MAX(0,ROUND(I187+J187-G187,10)),0)</f>
        <v>0</v>
      </c>
      <c r="D187" s="8" t="n"/>
      <c r="E187" s="11" t="inlineStr">
        <is>
          <t>ندارد</t>
        </is>
      </c>
      <c r="F187" s="11" t="inlineStr">
        <is>
          <t>-</t>
        </is>
      </c>
      <c r="G187" s="10" t="n">
        <v>13029</v>
      </c>
      <c r="H187" s="8" t="n"/>
      <c r="I187" s="10">
        <f>SUMIF('جزئیات BOM'!$G$4:$G$607,A187,'جزئیات BOM'!$S$4:$S$607)</f>
        <v>5920</v>
      </c>
      <c r="J187" s="10">
        <f>SUMIF('جزئیات BOM'!$G$4:$G$607,A187,'جزئیات BOM'!$T$4:$T$607)</f>
        <v>2400</v>
      </c>
      <c r="K187" s="10">
        <f>ROUND(G187-I187,10)</f>
        <v>7109</v>
      </c>
      <c r="L187" s="10">
        <f>ROUNDUP(MAX(0,ROUND(J187-G187,10)),0)</f>
        <v>0</v>
      </c>
      <c r="M187" s="10" t="n">
        <v>0</v>
      </c>
      <c r="N187" s="11" t="inlineStr">
        <is>
          <t>ثبت عددی</t>
        </is>
      </c>
      <c r="O187" s="11" t="inlineStr">
        <is>
          <t>عدد</t>
        </is>
      </c>
      <c r="P187" s="11" t="inlineStr"/>
      <c r="Q187" s="13" t="n"/>
      <c r="R187" s="13" t="n"/>
    </row>
    <row r="188" ht="20" customHeight="1">
      <c r="A188" s="5" t="n">
        <v>1110107</v>
      </c>
      <c r="B188" s="6" t="inlineStr">
        <is>
          <t>Capacitor 470nF,X7R,50V,10%</t>
        </is>
      </c>
      <c r="C188" s="7">
        <f>ROUNDUP(MAX(0,ROUND(I188+J188-G188,10)),0)</f>
        <v>0</v>
      </c>
      <c r="D188" s="8" t="n"/>
      <c r="E188" s="6" t="inlineStr">
        <is>
          <t>ندارد</t>
        </is>
      </c>
      <c r="F188" s="6" t="inlineStr">
        <is>
          <t>-</t>
        </is>
      </c>
      <c r="G188" s="5" t="n">
        <v>22603</v>
      </c>
      <c r="H188" s="8" t="n"/>
      <c r="I188" s="5">
        <f>SUMIF('جزئیات BOM'!$G$4:$G$607,A188,'جزئیات BOM'!$S$4:$S$607)</f>
        <v>5100</v>
      </c>
      <c r="J188" s="5">
        <f>SUMIF('جزئیات BOM'!$G$4:$G$607,A188,'جزئیات BOM'!$T$4:$T$607)</f>
        <v>2400</v>
      </c>
      <c r="K188" s="5">
        <f>ROUND(G188-I188,10)</f>
        <v>17503</v>
      </c>
      <c r="L188" s="5">
        <f>ROUNDUP(MAX(0,ROUND(J188-G188,10)),0)</f>
        <v>0</v>
      </c>
      <c r="M188" s="5" t="n">
        <v>0</v>
      </c>
      <c r="N188" s="6" t="inlineStr">
        <is>
          <t>ثبت عددی</t>
        </is>
      </c>
      <c r="O188" s="6" t="inlineStr">
        <is>
          <t>عدد</t>
        </is>
      </c>
      <c r="P188" s="6" t="inlineStr"/>
      <c r="Q188" s="9" t="n"/>
      <c r="R188" s="9" t="n"/>
    </row>
    <row r="189" ht="20" customHeight="1">
      <c r="A189" s="10" t="n">
        <v>1110114</v>
      </c>
      <c r="B189" s="11" t="inlineStr">
        <is>
          <t>Capacitor  9PF,50V,±0.5pF,C0G</t>
        </is>
      </c>
      <c r="C189" s="12">
        <f>ROUNDUP(MAX(0,ROUND(I189+J189-G189,10)),0)</f>
        <v>0</v>
      </c>
      <c r="D189" s="8" t="n"/>
      <c r="E189" s="11" t="inlineStr">
        <is>
          <t>ندارد</t>
        </is>
      </c>
      <c r="F189" s="11" t="inlineStr">
        <is>
          <t>-</t>
        </is>
      </c>
      <c r="G189" s="10" t="n">
        <v>9584</v>
      </c>
      <c r="H189" s="8" t="n"/>
      <c r="I189" s="10">
        <f>SUMIF('جزئیات BOM'!$G$4:$G$607,A189,'جزئیات BOM'!$S$4:$S$607)</f>
        <v>2300</v>
      </c>
      <c r="J189" s="10">
        <f>SUMIF('جزئیات BOM'!$G$4:$G$607,A189,'جزئیات BOM'!$T$4:$T$607)</f>
        <v>4000</v>
      </c>
      <c r="K189" s="10">
        <f>ROUND(G189-I189,10)</f>
        <v>7284</v>
      </c>
      <c r="L189" s="10">
        <f>ROUNDUP(MAX(0,ROUND(J189-G189,10)),0)</f>
        <v>0</v>
      </c>
      <c r="M189" s="10" t="n">
        <v>0</v>
      </c>
      <c r="N189" s="11" t="inlineStr">
        <is>
          <t>ثبت عددی</t>
        </is>
      </c>
      <c r="O189" s="11" t="inlineStr">
        <is>
          <t>عدد</t>
        </is>
      </c>
      <c r="P189" s="11" t="inlineStr"/>
      <c r="Q189" s="13" t="n"/>
      <c r="R189" s="13" t="n"/>
    </row>
    <row r="190" ht="20" customHeight="1">
      <c r="A190" s="5" t="n">
        <v>1110116</v>
      </c>
      <c r="B190" s="6" t="inlineStr">
        <is>
          <t>Capacitor 1.5NF,50V,10%,X7R</t>
        </is>
      </c>
      <c r="C190" s="7">
        <f>ROUNDUP(MAX(0,ROUND(I190+J190-G190,10)),0)</f>
        <v>0</v>
      </c>
      <c r="D190" s="8" t="n"/>
      <c r="E190" s="6" t="inlineStr">
        <is>
          <t>ندارد</t>
        </is>
      </c>
      <c r="F190" s="6" t="inlineStr">
        <is>
          <t>-</t>
        </is>
      </c>
      <c r="G190" s="5" t="n">
        <v>9716</v>
      </c>
      <c r="H190" s="8" t="n"/>
      <c r="I190" s="5">
        <f>SUMIF('جزئیات BOM'!$G$4:$G$607,A190,'جزئیات BOM'!$S$4:$S$607)</f>
        <v>2300</v>
      </c>
      <c r="J190" s="5">
        <f>SUMIF('جزئیات BOM'!$G$4:$G$607,A190,'جزئیات BOM'!$T$4:$T$607)</f>
        <v>4000</v>
      </c>
      <c r="K190" s="5">
        <f>ROUND(G190-I190,10)</f>
        <v>7416</v>
      </c>
      <c r="L190" s="5">
        <f>ROUNDUP(MAX(0,ROUND(J190-G190,10)),0)</f>
        <v>0</v>
      </c>
      <c r="M190" s="5" t="n">
        <v>0</v>
      </c>
      <c r="N190" s="6" t="inlineStr">
        <is>
          <t>ثبت عددی</t>
        </is>
      </c>
      <c r="O190" s="6" t="inlineStr">
        <is>
          <t>عدد</t>
        </is>
      </c>
      <c r="P190" s="6" t="inlineStr"/>
      <c r="Q190" s="9" t="n"/>
      <c r="R190" s="9" t="n"/>
    </row>
    <row r="191" ht="20" customHeight="1">
      <c r="A191" s="10" t="n">
        <v>1110117</v>
      </c>
      <c r="B191" s="11" t="inlineStr">
        <is>
          <t>Capacitor 100NF,16V,10%,X7R(3008126</t>
        </is>
      </c>
      <c r="C191" s="12">
        <f>ROUNDUP(MAX(0,ROUND(I191+J191-G191,10)),0)</f>
        <v>0</v>
      </c>
      <c r="D191" s="8" t="n"/>
      <c r="E191" s="11" t="inlineStr">
        <is>
          <t>ندارد</t>
        </is>
      </c>
      <c r="F191" s="11" t="inlineStr">
        <is>
          <t>-</t>
        </is>
      </c>
      <c r="G191" s="10" t="n">
        <v>57876</v>
      </c>
      <c r="H191" s="8" t="n"/>
      <c r="I191" s="10">
        <f>SUMIF('جزئیات BOM'!$G$4:$G$607,A191,'جزئیات BOM'!$S$4:$S$607)</f>
        <v>18400</v>
      </c>
      <c r="J191" s="10">
        <f>SUMIF('جزئیات BOM'!$G$4:$G$607,A191,'جزئیات BOM'!$T$4:$T$607)</f>
        <v>32000</v>
      </c>
      <c r="K191" s="10">
        <f>ROUND(G191-I191,10)</f>
        <v>39476</v>
      </c>
      <c r="L191" s="10">
        <f>ROUNDUP(MAX(0,ROUND(J191-G191,10)),0)</f>
        <v>0</v>
      </c>
      <c r="M191" s="10" t="n">
        <v>0</v>
      </c>
      <c r="N191" s="11" t="inlineStr">
        <is>
          <t>ثبت عددی</t>
        </is>
      </c>
      <c r="O191" s="11" t="inlineStr">
        <is>
          <t>عدد</t>
        </is>
      </c>
      <c r="P191" s="11" t="inlineStr"/>
      <c r="Q191" s="13" t="n"/>
      <c r="R191" s="13" t="n"/>
    </row>
    <row r="192" ht="20" customHeight="1">
      <c r="A192" s="5" t="n">
        <v>1110118</v>
      </c>
      <c r="B192" s="6" t="inlineStr">
        <is>
          <t>Capacitor 100nF,50V,10%,X7R (3013617</t>
        </is>
      </c>
      <c r="C192" s="7">
        <f>ROUNDUP(MAX(0,ROUND(I192+J192-G192,10)),0)</f>
        <v>0</v>
      </c>
      <c r="D192" s="8" t="n"/>
      <c r="E192" s="6" t="inlineStr">
        <is>
          <t>ندارد</t>
        </is>
      </c>
      <c r="F192" s="6" t="inlineStr">
        <is>
          <t>-</t>
        </is>
      </c>
      <c r="G192" s="5" t="n">
        <v>63392</v>
      </c>
      <c r="H192" s="8" t="n"/>
      <c r="I192" s="5">
        <f>SUMIF('جزئیات BOM'!$G$4:$G$607,A192,'جزئیات BOM'!$S$4:$S$607)</f>
        <v>30100</v>
      </c>
      <c r="J192" s="5">
        <f>SUMIF('جزئیات BOM'!$G$4:$G$607,A192,'جزئیات BOM'!$T$4:$T$607)</f>
        <v>24000</v>
      </c>
      <c r="K192" s="5">
        <f>ROUND(G192-I192,10)</f>
        <v>33292</v>
      </c>
      <c r="L192" s="5">
        <f>ROUNDUP(MAX(0,ROUND(J192-G192,10)),0)</f>
        <v>0</v>
      </c>
      <c r="M192" s="5" t="n">
        <v>0</v>
      </c>
      <c r="N192" s="6" t="inlineStr">
        <is>
          <t>ثبت عددی</t>
        </is>
      </c>
      <c r="O192" s="6" t="inlineStr">
        <is>
          <t>عدد</t>
        </is>
      </c>
      <c r="P192" s="6" t="inlineStr"/>
      <c r="Q192" s="9" t="n"/>
      <c r="R192" s="9" t="n"/>
    </row>
    <row r="193" ht="20" customHeight="1">
      <c r="A193" s="10" t="n">
        <v>1110121</v>
      </c>
      <c r="B193" s="11" t="inlineStr">
        <is>
          <t>Capacitor 100PF,50V,5%,C0G</t>
        </is>
      </c>
      <c r="C193" s="12">
        <f>ROUNDUP(MAX(0,ROUND(I193+J193-G193,10)),0)</f>
        <v>0</v>
      </c>
      <c r="D193" s="8" t="n"/>
      <c r="E193" s="11" t="inlineStr">
        <is>
          <t>ندارد</t>
        </is>
      </c>
      <c r="F193" s="11" t="inlineStr">
        <is>
          <t>-</t>
        </is>
      </c>
      <c r="G193" s="10" t="n">
        <v>8600</v>
      </c>
      <c r="H193" s="8" t="n"/>
      <c r="I193" s="10">
        <f>SUMIF('جزئیات BOM'!$G$4:$G$607,A193,'جزئیات BOM'!$S$4:$S$607)</f>
        <v>2300</v>
      </c>
      <c r="J193" s="10">
        <f>SUMIF('جزئیات BOM'!$G$4:$G$607,A193,'جزئیات BOM'!$T$4:$T$607)</f>
        <v>4000</v>
      </c>
      <c r="K193" s="10">
        <f>ROUND(G193-I193,10)</f>
        <v>6300</v>
      </c>
      <c r="L193" s="10">
        <f>ROUNDUP(MAX(0,ROUND(J193-G193,10)),0)</f>
        <v>0</v>
      </c>
      <c r="M193" s="10" t="n">
        <v>0</v>
      </c>
      <c r="N193" s="11" t="inlineStr">
        <is>
          <t>ثبت عددی</t>
        </is>
      </c>
      <c r="O193" s="11" t="inlineStr">
        <is>
          <t>عدد</t>
        </is>
      </c>
      <c r="P193" s="11" t="inlineStr"/>
      <c r="Q193" s="13" t="n"/>
      <c r="R193" s="13" t="n"/>
    </row>
    <row r="194" ht="20" customHeight="1">
      <c r="A194" s="5" t="n">
        <v>1110123</v>
      </c>
      <c r="B194" s="6" t="inlineStr">
        <is>
          <t>(Capacitor 1UF, 25V, X7R, 10%(1206</t>
        </is>
      </c>
      <c r="C194" s="7">
        <f>ROUNDUP(MAX(0,ROUND(I194+J194-G194,10)),0)</f>
        <v>0</v>
      </c>
      <c r="D194" s="8" t="n"/>
      <c r="E194" s="6" t="inlineStr">
        <is>
          <t>دارد</t>
        </is>
      </c>
      <c r="F194" s="6" t="inlineStr">
        <is>
          <t>1</t>
        </is>
      </c>
      <c r="G194" s="5" t="n">
        <v>3369</v>
      </c>
      <c r="H194" s="8" t="n"/>
      <c r="I194" s="5">
        <f>SUMIF('جزئیات BOM'!$G$4:$G$607,A194,'جزئیات BOM'!$S$4:$S$607)</f>
        <v>840</v>
      </c>
      <c r="J194" s="5">
        <f>SUMIF('جزئیات BOM'!$G$4:$G$607,A194,'جزئیات BOM'!$T$4:$T$607)</f>
        <v>180</v>
      </c>
      <c r="K194" s="5">
        <f>ROUND(G194-I194,10)</f>
        <v>2529</v>
      </c>
      <c r="L194" s="5">
        <f>ROUNDUP(MAX(0,ROUND(J194-G194,10)),0)</f>
        <v>0</v>
      </c>
      <c r="M194" s="5" t="n">
        <v>0</v>
      </c>
      <c r="N194" s="6" t="inlineStr">
        <is>
          <t>ثبت عددی</t>
        </is>
      </c>
      <c r="O194" s="6" t="inlineStr">
        <is>
          <t>عدد</t>
        </is>
      </c>
      <c r="P194" s="6" t="inlineStr">
        <is>
          <t>سهم جایگزین طبق BOM؛ نیازمند تأیید</t>
        </is>
      </c>
      <c r="Q194" s="9" t="n"/>
      <c r="R194" s="9" t="n"/>
    </row>
    <row r="195" ht="20" customHeight="1">
      <c r="A195" s="10" t="n">
        <v>1110124</v>
      </c>
      <c r="B195" s="11" t="inlineStr">
        <is>
          <t>Capacitor 10NF,16V,10%,X7R</t>
        </is>
      </c>
      <c r="C195" s="12">
        <f>ROUNDUP(MAX(0,ROUND(I195+J195-G195,10)),0)</f>
        <v>0</v>
      </c>
      <c r="D195" s="8" t="n"/>
      <c r="E195" s="11" t="inlineStr">
        <is>
          <t>ندارد</t>
        </is>
      </c>
      <c r="F195" s="11" t="inlineStr">
        <is>
          <t>-</t>
        </is>
      </c>
      <c r="G195" s="10" t="n">
        <v>34043</v>
      </c>
      <c r="H195" s="8" t="n"/>
      <c r="I195" s="10">
        <f>SUMIF('جزئیات BOM'!$G$4:$G$607,A195,'جزئیات BOM'!$S$4:$S$607)</f>
        <v>9200</v>
      </c>
      <c r="J195" s="10">
        <f>SUMIF('جزئیات BOM'!$G$4:$G$607,A195,'جزئیات BOM'!$T$4:$T$607)</f>
        <v>16000</v>
      </c>
      <c r="K195" s="10">
        <f>ROUND(G195-I195,10)</f>
        <v>24843</v>
      </c>
      <c r="L195" s="10">
        <f>ROUNDUP(MAX(0,ROUND(J195-G195,10)),0)</f>
        <v>0</v>
      </c>
      <c r="M195" s="10" t="n">
        <v>0</v>
      </c>
      <c r="N195" s="11" t="inlineStr">
        <is>
          <t>ثبت عددی</t>
        </is>
      </c>
      <c r="O195" s="11" t="inlineStr">
        <is>
          <t>عدد</t>
        </is>
      </c>
      <c r="P195" s="11" t="inlineStr"/>
      <c r="Q195" s="13" t="n"/>
      <c r="R195" s="13" t="n"/>
    </row>
    <row r="196" ht="20" customHeight="1">
      <c r="A196" s="5" t="n">
        <v>1110127</v>
      </c>
      <c r="B196" s="6" t="inlineStr">
        <is>
          <t>Capacitor 10PF,50V,5%,C0G</t>
        </is>
      </c>
      <c r="C196" s="7">
        <f>ROUNDUP(MAX(0,ROUND(I196+J196-G196,10)),0)</f>
        <v>0</v>
      </c>
      <c r="D196" s="8" t="n"/>
      <c r="E196" s="6" t="inlineStr">
        <is>
          <t>دارد</t>
        </is>
      </c>
      <c r="F196" s="6" t="inlineStr">
        <is>
          <t>2</t>
        </is>
      </c>
      <c r="G196" s="5" t="n">
        <v>18732</v>
      </c>
      <c r="H196" s="8" t="n"/>
      <c r="I196" s="5">
        <f>SUMIF('جزئیات BOM'!$G$4:$G$607,A196,'جزئیات BOM'!$S$4:$S$607)</f>
        <v>6000</v>
      </c>
      <c r="J196" s="5">
        <f>SUMIF('جزئیات BOM'!$G$4:$G$607,A196,'جزئیات BOM'!$T$4:$T$607)</f>
        <v>9200</v>
      </c>
      <c r="K196" s="5">
        <f>ROUND(G196-I196,10)</f>
        <v>12732</v>
      </c>
      <c r="L196" s="5">
        <f>ROUNDUP(MAX(0,ROUND(J196-G196,10)),0)</f>
        <v>0</v>
      </c>
      <c r="M196" s="5" t="n">
        <v>0</v>
      </c>
      <c r="N196" s="6" t="inlineStr">
        <is>
          <t>ثبت عددی</t>
        </is>
      </c>
      <c r="O196" s="6" t="inlineStr">
        <is>
          <t>عدد</t>
        </is>
      </c>
      <c r="P196" s="6" t="inlineStr">
        <is>
          <t>سهم جایگزین طبق BOM؛ نیازمند تأیید</t>
        </is>
      </c>
      <c r="Q196" s="9" t="n"/>
      <c r="R196" s="9" t="n"/>
    </row>
    <row r="197" ht="20" customHeight="1">
      <c r="A197" s="10" t="n">
        <v>1110128</v>
      </c>
      <c r="B197" s="11" t="inlineStr">
        <is>
          <t>Capacitor 10PF,50V,5%,X7R</t>
        </is>
      </c>
      <c r="C197" s="12">
        <f>ROUNDUP(MAX(0,ROUND(I197+J197-G197,10)),0)</f>
        <v>0</v>
      </c>
      <c r="D197" s="8" t="n"/>
      <c r="E197" s="11" t="inlineStr">
        <is>
          <t>دارد</t>
        </is>
      </c>
      <c r="F197" s="11" t="inlineStr">
        <is>
          <t>1</t>
        </is>
      </c>
      <c r="G197" s="10" t="n">
        <v>8566</v>
      </c>
      <c r="H197" s="8" t="n"/>
      <c r="I197" s="10">
        <f>SUMIF('جزئیات BOM'!$G$4:$G$607,A197,'جزئیات BOM'!$S$4:$S$607)</f>
        <v>1400</v>
      </c>
      <c r="J197" s="10">
        <f>SUMIF('جزئیات BOM'!$G$4:$G$607,A197,'جزئیات BOM'!$T$4:$T$607)</f>
        <v>1200</v>
      </c>
      <c r="K197" s="10">
        <f>ROUND(G197-I197,10)</f>
        <v>7166</v>
      </c>
      <c r="L197" s="10">
        <f>ROUNDUP(MAX(0,ROUND(J197-G197,10)),0)</f>
        <v>0</v>
      </c>
      <c r="M197" s="10" t="n">
        <v>0</v>
      </c>
      <c r="N197" s="11" t="inlineStr">
        <is>
          <t>ثبت عددی</t>
        </is>
      </c>
      <c r="O197" s="11" t="inlineStr">
        <is>
          <t>عدد</t>
        </is>
      </c>
      <c r="P197" s="11" t="inlineStr">
        <is>
          <t>سهم جایگزین طبق BOM؛ نیازمند تأیید</t>
        </is>
      </c>
      <c r="Q197" s="13" t="n"/>
      <c r="R197" s="13" t="n"/>
    </row>
    <row r="198" ht="20" customHeight="1">
      <c r="A198" s="5" t="n">
        <v>1110131</v>
      </c>
      <c r="B198" s="6" t="inlineStr">
        <is>
          <t>Capacitor 1nF,50V,10%,X7R(3008128</t>
        </is>
      </c>
      <c r="C198" s="7">
        <f>ROUNDUP(MAX(0,ROUND(I198+J198-G198,10)),0)</f>
        <v>0</v>
      </c>
      <c r="D198" s="8" t="n"/>
      <c r="E198" s="6" t="inlineStr">
        <is>
          <t>ندارد</t>
        </is>
      </c>
      <c r="F198" s="6" t="inlineStr">
        <is>
          <t>-</t>
        </is>
      </c>
      <c r="G198" s="5" t="n">
        <v>17691</v>
      </c>
      <c r="H198" s="8" t="n"/>
      <c r="I198" s="5">
        <f>SUMIF('جزئیات BOM'!$G$4:$G$607,A198,'جزئیات BOM'!$S$4:$S$607)</f>
        <v>6000</v>
      </c>
      <c r="J198" s="5">
        <f>SUMIF('جزئیات BOM'!$G$4:$G$607,A198,'جزئیات BOM'!$T$4:$T$607)</f>
        <v>9200</v>
      </c>
      <c r="K198" s="5">
        <f>ROUND(G198-I198,10)</f>
        <v>11691</v>
      </c>
      <c r="L198" s="5">
        <f>ROUNDUP(MAX(0,ROUND(J198-G198,10)),0)</f>
        <v>0</v>
      </c>
      <c r="M198" s="5" t="n">
        <v>0</v>
      </c>
      <c r="N198" s="6" t="inlineStr">
        <is>
          <t>ثبت عددی</t>
        </is>
      </c>
      <c r="O198" s="6" t="inlineStr">
        <is>
          <t>عدد</t>
        </is>
      </c>
      <c r="P198" s="6" t="inlineStr"/>
      <c r="Q198" s="9" t="n"/>
      <c r="R198" s="9" t="n"/>
    </row>
    <row r="199" ht="20" customHeight="1">
      <c r="A199" s="10" t="n">
        <v>1110135</v>
      </c>
      <c r="B199" s="11" t="inlineStr">
        <is>
          <t>Capacitor 1uF,16V,10%,X7R(3008118</t>
        </is>
      </c>
      <c r="C199" s="12">
        <f>ROUNDUP(MAX(0,ROUND(I199+J199-G199,10)),0)</f>
        <v>0</v>
      </c>
      <c r="D199" s="8" t="n"/>
      <c r="E199" s="11" t="inlineStr">
        <is>
          <t>ندارد</t>
        </is>
      </c>
      <c r="F199" s="11" t="inlineStr">
        <is>
          <t>-</t>
        </is>
      </c>
      <c r="G199" s="10" t="n">
        <v>29304</v>
      </c>
      <c r="H199" s="8" t="n"/>
      <c r="I199" s="10">
        <f>SUMIF('جزئیات BOM'!$G$4:$G$607,A199,'جزئیات BOM'!$S$4:$S$607)</f>
        <v>16940</v>
      </c>
      <c r="J199" s="10">
        <f>SUMIF('جزئیات BOM'!$G$4:$G$607,A199,'جزئیات BOM'!$T$4:$T$607)</f>
        <v>12280</v>
      </c>
      <c r="K199" s="10">
        <f>ROUND(G199-I199,10)</f>
        <v>12364</v>
      </c>
      <c r="L199" s="10">
        <f>ROUNDUP(MAX(0,ROUND(J199-G199,10)),0)</f>
        <v>0</v>
      </c>
      <c r="M199" s="10" t="n">
        <v>0</v>
      </c>
      <c r="N199" s="11" t="inlineStr">
        <is>
          <t>ثبت عددی</t>
        </is>
      </c>
      <c r="O199" s="11" t="inlineStr">
        <is>
          <t>عدد</t>
        </is>
      </c>
      <c r="P199" s="11" t="inlineStr"/>
      <c r="Q199" s="13" t="n"/>
      <c r="R199" s="13" t="n"/>
    </row>
    <row r="200" ht="20" customHeight="1">
      <c r="A200" s="5" t="n">
        <v>1110137</v>
      </c>
      <c r="B200" s="6" t="inlineStr">
        <is>
          <t>Capacitor 2.2PF,50V,±0.25pF,C0G</t>
        </is>
      </c>
      <c r="C200" s="7">
        <f>ROUNDUP(MAX(0,ROUND(I200+J200-G200,10)),0)</f>
        <v>0</v>
      </c>
      <c r="D200" s="8" t="n"/>
      <c r="E200" s="6" t="inlineStr">
        <is>
          <t>ندارد</t>
        </is>
      </c>
      <c r="F200" s="6" t="inlineStr">
        <is>
          <t>-</t>
        </is>
      </c>
      <c r="G200" s="5" t="n">
        <v>7084</v>
      </c>
      <c r="H200" s="8" t="n"/>
      <c r="I200" s="5">
        <f>SUMIF('جزئیات BOM'!$G$4:$G$607,A200,'جزئیات BOM'!$S$4:$S$607)</f>
        <v>2300</v>
      </c>
      <c r="J200" s="5">
        <f>SUMIF('جزئیات BOM'!$G$4:$G$607,A200,'جزئیات BOM'!$T$4:$T$607)</f>
        <v>4000</v>
      </c>
      <c r="K200" s="5">
        <f>ROUND(G200-I200,10)</f>
        <v>4784</v>
      </c>
      <c r="L200" s="5">
        <f>ROUNDUP(MAX(0,ROUND(J200-G200,10)),0)</f>
        <v>0</v>
      </c>
      <c r="M200" s="5" t="n">
        <v>0</v>
      </c>
      <c r="N200" s="6" t="inlineStr">
        <is>
          <t>ثبت عددی</t>
        </is>
      </c>
      <c r="O200" s="6" t="inlineStr">
        <is>
          <t>عدد</t>
        </is>
      </c>
      <c r="P200" s="6" t="inlineStr"/>
      <c r="Q200" s="9" t="n"/>
      <c r="R200" s="9" t="n"/>
    </row>
    <row r="201" ht="20" customHeight="1">
      <c r="A201" s="10" t="n">
        <v>1110139</v>
      </c>
      <c r="B201" s="11" t="inlineStr">
        <is>
          <t>Capacitor 220nF,GCM,50V,10%</t>
        </is>
      </c>
      <c r="C201" s="12">
        <f>ROUNDUP(MAX(0,ROUND(I201+J201-G201,10)),0)</f>
        <v>0</v>
      </c>
      <c r="D201" s="8" t="n"/>
      <c r="E201" s="11" t="inlineStr">
        <is>
          <t>ندارد</t>
        </is>
      </c>
      <c r="F201" s="11" t="inlineStr">
        <is>
          <t>-</t>
        </is>
      </c>
      <c r="G201" s="10" t="n">
        <v>9708</v>
      </c>
      <c r="H201" s="8" t="n"/>
      <c r="I201" s="10">
        <f>SUMIF('جزئیات BOM'!$G$4:$G$607,A201,'جزئیات BOM'!$S$4:$S$607)</f>
        <v>1500</v>
      </c>
      <c r="J201" s="10">
        <f>SUMIF('جزئیات BOM'!$G$4:$G$607,A201,'جزئیات BOM'!$T$4:$T$607)</f>
        <v>0</v>
      </c>
      <c r="K201" s="10">
        <f>ROUND(G201-I201,10)</f>
        <v>8208</v>
      </c>
      <c r="L201" s="10">
        <f>ROUNDUP(MAX(0,ROUND(J201-G201,10)),0)</f>
        <v>0</v>
      </c>
      <c r="M201" s="10" t="n">
        <v>0</v>
      </c>
      <c r="N201" s="11" t="inlineStr">
        <is>
          <t>ثبت عددی</t>
        </is>
      </c>
      <c r="O201" s="11" t="inlineStr">
        <is>
          <t>عدد</t>
        </is>
      </c>
      <c r="P201" s="11" t="inlineStr"/>
      <c r="Q201" s="13" t="n"/>
      <c r="R201" s="13" t="n"/>
    </row>
    <row r="202" ht="20" customHeight="1">
      <c r="A202" s="5" t="n">
        <v>1110142</v>
      </c>
      <c r="B202" s="6" t="inlineStr">
        <is>
          <t>Capacitor 22nF,50V,10%,X7R</t>
        </is>
      </c>
      <c r="C202" s="7">
        <f>ROUNDUP(MAX(0,ROUND(I202+J202-G202,10)),0)</f>
        <v>0</v>
      </c>
      <c r="D202" s="8" t="n"/>
      <c r="E202" s="6" t="inlineStr">
        <is>
          <t>ندارد</t>
        </is>
      </c>
      <c r="F202" s="6" t="inlineStr">
        <is>
          <t>-</t>
        </is>
      </c>
      <c r="G202" s="5" t="n">
        <v>7206</v>
      </c>
      <c r="H202" s="8" t="n"/>
      <c r="I202" s="5">
        <f>SUMIF('جزئیات BOM'!$G$4:$G$607,A202,'جزئیات BOM'!$S$4:$S$607)</f>
        <v>2800</v>
      </c>
      <c r="J202" s="5">
        <f>SUMIF('جزئیات BOM'!$G$4:$G$607,A202,'جزئیات BOM'!$T$4:$T$607)</f>
        <v>2400</v>
      </c>
      <c r="K202" s="5">
        <f>ROUND(G202-I202,10)</f>
        <v>4406</v>
      </c>
      <c r="L202" s="5">
        <f>ROUNDUP(MAX(0,ROUND(J202-G202,10)),0)</f>
        <v>0</v>
      </c>
      <c r="M202" s="5" t="n">
        <v>0</v>
      </c>
      <c r="N202" s="6" t="inlineStr">
        <is>
          <t>ثبت عددی</t>
        </is>
      </c>
      <c r="O202" s="6" t="inlineStr">
        <is>
          <t>عدد</t>
        </is>
      </c>
      <c r="P202" s="6" t="inlineStr"/>
      <c r="Q202" s="9" t="n"/>
      <c r="R202" s="9" t="n"/>
    </row>
    <row r="203" ht="20" customHeight="1">
      <c r="A203" s="10" t="n">
        <v>1110143</v>
      </c>
      <c r="B203" s="11" t="inlineStr">
        <is>
          <t>Capacitor 270PF,50V,5%,C0G</t>
        </is>
      </c>
      <c r="C203" s="12">
        <f>ROUNDUP(MAX(0,ROUND(I203+J203-G203,10)),0)</f>
        <v>0</v>
      </c>
      <c r="D203" s="8" t="n"/>
      <c r="E203" s="11" t="inlineStr">
        <is>
          <t>ندارد</t>
        </is>
      </c>
      <c r="F203" s="11" t="inlineStr">
        <is>
          <t>-</t>
        </is>
      </c>
      <c r="G203" s="10" t="n">
        <v>8435</v>
      </c>
      <c r="H203" s="8" t="n"/>
      <c r="I203" s="10">
        <f>SUMIF('جزئیات BOM'!$G$4:$G$607,A203,'جزئیات BOM'!$S$4:$S$607)</f>
        <v>2300</v>
      </c>
      <c r="J203" s="10">
        <f>SUMIF('جزئیات BOM'!$G$4:$G$607,A203,'جزئیات BOM'!$T$4:$T$607)</f>
        <v>4000</v>
      </c>
      <c r="K203" s="10">
        <f>ROUND(G203-I203,10)</f>
        <v>6135</v>
      </c>
      <c r="L203" s="10">
        <f>ROUNDUP(MAX(0,ROUND(J203-G203,10)),0)</f>
        <v>0</v>
      </c>
      <c r="M203" s="10" t="n">
        <v>0</v>
      </c>
      <c r="N203" s="11" t="inlineStr">
        <is>
          <t>ثبت عددی</t>
        </is>
      </c>
      <c r="O203" s="11" t="inlineStr">
        <is>
          <t>عدد</t>
        </is>
      </c>
      <c r="P203" s="11" t="inlineStr"/>
      <c r="Q203" s="13" t="n"/>
      <c r="R203" s="13" t="n"/>
    </row>
    <row r="204" ht="20" customHeight="1">
      <c r="A204" s="5" t="n">
        <v>1110148</v>
      </c>
      <c r="B204" s="6" t="inlineStr">
        <is>
          <t>Capacitor 390PF,50V,5%,C0G</t>
        </is>
      </c>
      <c r="C204" s="7">
        <f>ROUNDUP(MAX(0,ROUND(I204+J204-G204,10)),0)</f>
        <v>0</v>
      </c>
      <c r="D204" s="8" t="n"/>
      <c r="E204" s="6" t="inlineStr">
        <is>
          <t>ندارد</t>
        </is>
      </c>
      <c r="F204" s="6" t="inlineStr">
        <is>
          <t>-</t>
        </is>
      </c>
      <c r="G204" s="5" t="n">
        <v>9583</v>
      </c>
      <c r="H204" s="8" t="n"/>
      <c r="I204" s="5">
        <f>SUMIF('جزئیات BOM'!$G$4:$G$607,A204,'جزئیات BOM'!$S$4:$S$607)</f>
        <v>2300</v>
      </c>
      <c r="J204" s="5">
        <f>SUMIF('جزئیات BOM'!$G$4:$G$607,A204,'جزئیات BOM'!$T$4:$T$607)</f>
        <v>4000</v>
      </c>
      <c r="K204" s="5">
        <f>ROUND(G204-I204,10)</f>
        <v>7283</v>
      </c>
      <c r="L204" s="5">
        <f>ROUNDUP(MAX(0,ROUND(J204-G204,10)),0)</f>
        <v>0</v>
      </c>
      <c r="M204" s="5" t="n">
        <v>0</v>
      </c>
      <c r="N204" s="6" t="inlineStr">
        <is>
          <t>ثبت عددی</t>
        </is>
      </c>
      <c r="O204" s="6" t="inlineStr">
        <is>
          <t>عدد</t>
        </is>
      </c>
      <c r="P204" s="6" t="inlineStr"/>
      <c r="Q204" s="9" t="n"/>
      <c r="R204" s="9" t="n"/>
    </row>
    <row r="205" ht="20" customHeight="1">
      <c r="A205" s="10" t="n">
        <v>1110149</v>
      </c>
      <c r="B205" s="11" t="inlineStr">
        <is>
          <t>Capacitor 4.7nF,50V,X7R,10% (3008124</t>
        </is>
      </c>
      <c r="C205" s="12">
        <f>ROUNDUP(MAX(0,ROUND(I205+J205-G205,10)),0)</f>
        <v>0</v>
      </c>
      <c r="D205" s="8" t="n"/>
      <c r="E205" s="11" t="inlineStr">
        <is>
          <t>ندارد</t>
        </is>
      </c>
      <c r="F205" s="11" t="inlineStr">
        <is>
          <t>-</t>
        </is>
      </c>
      <c r="G205" s="10" t="n">
        <v>7754</v>
      </c>
      <c r="H205" s="8" t="n"/>
      <c r="I205" s="10">
        <f>SUMIF('جزئیات BOM'!$G$4:$G$607,A205,'جزئیات BOM'!$S$4:$S$607)</f>
        <v>2300</v>
      </c>
      <c r="J205" s="10">
        <f>SUMIF('جزئیات BOM'!$G$4:$G$607,A205,'جزئیات BOM'!$T$4:$T$607)</f>
        <v>4000</v>
      </c>
      <c r="K205" s="10">
        <f>ROUND(G205-I205,10)</f>
        <v>5454</v>
      </c>
      <c r="L205" s="10">
        <f>ROUNDUP(MAX(0,ROUND(J205-G205,10)),0)</f>
        <v>0</v>
      </c>
      <c r="M205" s="10" t="n">
        <v>0</v>
      </c>
      <c r="N205" s="11" t="inlineStr">
        <is>
          <t>ثبت عددی</t>
        </is>
      </c>
      <c r="O205" s="11" t="inlineStr">
        <is>
          <t>عدد</t>
        </is>
      </c>
      <c r="P205" s="11" t="inlineStr"/>
      <c r="Q205" s="13" t="n"/>
      <c r="R205" s="13" t="n"/>
    </row>
    <row r="206" ht="20" customHeight="1">
      <c r="A206" s="5" t="n">
        <v>1110151</v>
      </c>
      <c r="B206" s="6" t="inlineStr">
        <is>
          <t>Capacitor 4.7nF,X7R,50V,10% KYOCERA</t>
        </is>
      </c>
      <c r="C206" s="7">
        <f>ROUNDUP(MAX(0,ROUND(I206+J206-G206,10)),0)</f>
        <v>0</v>
      </c>
      <c r="D206" s="8" t="n"/>
      <c r="E206" s="6" t="inlineStr">
        <is>
          <t>ندارد</t>
        </is>
      </c>
      <c r="F206" s="6" t="inlineStr">
        <is>
          <t>-</t>
        </is>
      </c>
      <c r="G206" s="5" t="n">
        <v>25664</v>
      </c>
      <c r="H206" s="8" t="n"/>
      <c r="I206" s="5">
        <f>SUMIF('جزئیات BOM'!$G$4:$G$607,A206,'جزئیات BOM'!$S$4:$S$607)</f>
        <v>12000</v>
      </c>
      <c r="J206" s="5">
        <f>SUMIF('جزئیات BOM'!$G$4:$G$607,A206,'جزئیات BOM'!$T$4:$T$607)</f>
        <v>0</v>
      </c>
      <c r="K206" s="5">
        <f>ROUND(G206-I206,10)</f>
        <v>13664</v>
      </c>
      <c r="L206" s="5">
        <f>ROUNDUP(MAX(0,ROUND(J206-G206,10)),0)</f>
        <v>0</v>
      </c>
      <c r="M206" s="5" t="n">
        <v>0</v>
      </c>
      <c r="N206" s="6" t="inlineStr">
        <is>
          <t>ثبت عددی</t>
        </is>
      </c>
      <c r="O206" s="6" t="inlineStr">
        <is>
          <t>عدد</t>
        </is>
      </c>
      <c r="P206" s="6" t="inlineStr"/>
      <c r="Q206" s="9" t="n"/>
      <c r="R206" s="9" t="n"/>
    </row>
    <row r="207" ht="20" customHeight="1">
      <c r="A207" s="10" t="n">
        <v>1110156</v>
      </c>
      <c r="B207" s="11" t="inlineStr">
        <is>
          <t>Capacitor 56PF,50V,5%,C0G</t>
        </is>
      </c>
      <c r="C207" s="12">
        <f>ROUNDUP(MAX(0,ROUND(I207+J207-G207,10)),0)</f>
        <v>0</v>
      </c>
      <c r="D207" s="8" t="n"/>
      <c r="E207" s="11" t="inlineStr">
        <is>
          <t>ندارد</t>
        </is>
      </c>
      <c r="F207" s="11" t="inlineStr">
        <is>
          <t>-</t>
        </is>
      </c>
      <c r="G207" s="10" t="n">
        <v>14022</v>
      </c>
      <c r="H207" s="8" t="n"/>
      <c r="I207" s="10">
        <f>SUMIF('جزئیات BOM'!$G$4:$G$607,A207,'جزئیات BOM'!$S$4:$S$607)</f>
        <v>2300</v>
      </c>
      <c r="J207" s="10">
        <f>SUMIF('جزئیات BOM'!$G$4:$G$607,A207,'جزئیات BOM'!$T$4:$T$607)</f>
        <v>4000</v>
      </c>
      <c r="K207" s="10">
        <f>ROUND(G207-I207,10)</f>
        <v>11722</v>
      </c>
      <c r="L207" s="10">
        <f>ROUNDUP(MAX(0,ROUND(J207-G207,10)),0)</f>
        <v>0</v>
      </c>
      <c r="M207" s="10" t="n">
        <v>0</v>
      </c>
      <c r="N207" s="11" t="inlineStr">
        <is>
          <t>ثبت عددی</t>
        </is>
      </c>
      <c r="O207" s="11" t="inlineStr">
        <is>
          <t>عدد</t>
        </is>
      </c>
      <c r="P207" s="11" t="inlineStr"/>
      <c r="Q207" s="13" t="n"/>
      <c r="R207" s="13" t="n"/>
    </row>
    <row r="208" ht="20" customHeight="1">
      <c r="A208" s="5" t="n">
        <v>1110157</v>
      </c>
      <c r="B208" s="6" t="inlineStr">
        <is>
          <t>Capacitor 68PF,50V,5%,C0G</t>
        </is>
      </c>
      <c r="C208" s="7">
        <f>ROUNDUP(MAX(0,ROUND(I208+J208-G208,10)),0)</f>
        <v>0</v>
      </c>
      <c r="D208" s="8" t="n"/>
      <c r="E208" s="6" t="inlineStr">
        <is>
          <t>ندارد</t>
        </is>
      </c>
      <c r="F208" s="6" t="inlineStr">
        <is>
          <t>-</t>
        </is>
      </c>
      <c r="G208" s="5" t="n">
        <v>11254</v>
      </c>
      <c r="H208" s="8" t="n"/>
      <c r="I208" s="5">
        <f>SUMIF('جزئیات BOM'!$G$4:$G$607,A208,'جزئیات BOM'!$S$4:$S$607)</f>
        <v>2300</v>
      </c>
      <c r="J208" s="5">
        <f>SUMIF('جزئیات BOM'!$G$4:$G$607,A208,'جزئیات BOM'!$T$4:$T$607)</f>
        <v>4000</v>
      </c>
      <c r="K208" s="5">
        <f>ROUND(G208-I208,10)</f>
        <v>8954</v>
      </c>
      <c r="L208" s="5">
        <f>ROUNDUP(MAX(0,ROUND(J208-G208,10)),0)</f>
        <v>0</v>
      </c>
      <c r="M208" s="5" t="n">
        <v>0</v>
      </c>
      <c r="N208" s="6" t="inlineStr">
        <is>
          <t>ثبت عددی</t>
        </is>
      </c>
      <c r="O208" s="6" t="inlineStr">
        <is>
          <t>عدد</t>
        </is>
      </c>
      <c r="P208" s="6" t="inlineStr"/>
      <c r="Q208" s="9" t="n"/>
      <c r="R208" s="9" t="n"/>
    </row>
    <row r="209" ht="20" customHeight="1">
      <c r="A209" s="10" t="n">
        <v>1110178</v>
      </c>
      <c r="B209" s="11" t="inlineStr">
        <is>
          <t>Resistor 8.2k, 5% ,1/4W, 3216</t>
        </is>
      </c>
      <c r="C209" s="12">
        <f>ROUNDUP(MAX(0,ROUND(I209+J209-G209,10)),0)</f>
        <v>0</v>
      </c>
      <c r="D209" s="8" t="n"/>
      <c r="E209" s="11" t="inlineStr">
        <is>
          <t>دارد</t>
        </is>
      </c>
      <c r="F209" s="11" t="inlineStr">
        <is>
          <t>1</t>
        </is>
      </c>
      <c r="G209" s="10" t="n">
        <v>33805</v>
      </c>
      <c r="H209" s="8" t="n"/>
      <c r="I209" s="10">
        <f>SUMIF('جزئیات BOM'!$G$4:$G$607,A209,'جزئیات BOM'!$S$4:$S$607)</f>
        <v>11700</v>
      </c>
      <c r="J209" s="10">
        <f>SUMIF('جزئیات BOM'!$G$4:$G$607,A209,'جزئیات BOM'!$T$4:$T$607)</f>
        <v>13500</v>
      </c>
      <c r="K209" s="10">
        <f>ROUND(G209-I209,10)</f>
        <v>22105</v>
      </c>
      <c r="L209" s="10">
        <f>ROUNDUP(MAX(0,ROUND(J209-G209,10)),0)</f>
        <v>0</v>
      </c>
      <c r="M209" s="10" t="n">
        <v>0</v>
      </c>
      <c r="N209" s="11" t="inlineStr">
        <is>
          <t>ثبت عددی</t>
        </is>
      </c>
      <c r="O209" s="11" t="inlineStr">
        <is>
          <t>عدد</t>
        </is>
      </c>
      <c r="P209" s="11" t="inlineStr">
        <is>
          <t>سهم جایگزین طبق BOM؛ نیازمند تأیید | ۱۰۰٪ تکراری: اولویت اول</t>
        </is>
      </c>
      <c r="Q209" s="13" t="n"/>
      <c r="R209" s="13" t="n"/>
    </row>
    <row r="210" ht="20" customHeight="1">
      <c r="A210" s="5" t="n">
        <v>1110186</v>
      </c>
      <c r="B210" s="6" t="inlineStr">
        <is>
          <t>Resistor 47K,5%,1/10w</t>
        </is>
      </c>
      <c r="C210" s="7">
        <f>ROUNDUP(MAX(0,ROUND(I210+J210-G210,10)),0)</f>
        <v>0</v>
      </c>
      <c r="D210" s="8" t="n"/>
      <c r="E210" s="6" t="inlineStr">
        <is>
          <t>دارد</t>
        </is>
      </c>
      <c r="F210" s="6" t="inlineStr">
        <is>
          <t>1</t>
        </is>
      </c>
      <c r="G210" s="5" t="n">
        <v>47590</v>
      </c>
      <c r="H210" s="8" t="n"/>
      <c r="I210" s="5">
        <f>SUMIF('جزئیات BOM'!$G$4:$G$607,A210,'جزئیات BOM'!$S$4:$S$607)</f>
        <v>1270</v>
      </c>
      <c r="J210" s="5">
        <f>SUMIF('جزئیات BOM'!$G$4:$G$607,A210,'جزئیات BOM'!$T$4:$T$607)</f>
        <v>940</v>
      </c>
      <c r="K210" s="5">
        <f>ROUND(G210-I210,10)</f>
        <v>46320</v>
      </c>
      <c r="L210" s="5">
        <f>ROUNDUP(MAX(0,ROUND(J210-G210,10)),0)</f>
        <v>0</v>
      </c>
      <c r="M210" s="5" t="n">
        <v>0</v>
      </c>
      <c r="N210" s="6" t="inlineStr">
        <is>
          <t>ثبت عددی</t>
        </is>
      </c>
      <c r="O210" s="6" t="inlineStr">
        <is>
          <t>عدد</t>
        </is>
      </c>
      <c r="P210" s="6" t="inlineStr">
        <is>
          <t>سهم جایگزین طبق BOM؛ نیازمند تأیید</t>
        </is>
      </c>
      <c r="Q210" s="9" t="n"/>
      <c r="R210" s="9" t="n"/>
    </row>
    <row r="211" ht="20" customHeight="1">
      <c r="A211" s="10" t="n">
        <v>1110199</v>
      </c>
      <c r="B211" s="11" t="inlineStr">
        <is>
          <t>Resistor 100, 5%, 1/16w</t>
        </is>
      </c>
      <c r="C211" s="12">
        <f>ROUNDUP(MAX(0,ROUND(I211+J211-G211,10)),0)</f>
        <v>0</v>
      </c>
      <c r="D211" s="8" t="n"/>
      <c r="E211" s="11" t="inlineStr">
        <is>
          <t>ندارد</t>
        </is>
      </c>
      <c r="F211" s="11" t="inlineStr">
        <is>
          <t>-</t>
        </is>
      </c>
      <c r="G211" s="10" t="n">
        <v>19702</v>
      </c>
      <c r="H211" s="8" t="n"/>
      <c r="I211" s="10">
        <f>SUMIF('جزئیات BOM'!$G$4:$G$607,A211,'جزئیات BOM'!$S$4:$S$607)</f>
        <v>6300</v>
      </c>
      <c r="J211" s="10">
        <f>SUMIF('جزئیات BOM'!$G$4:$G$607,A211,'جزئیات BOM'!$T$4:$T$607)</f>
        <v>4800</v>
      </c>
      <c r="K211" s="10">
        <f>ROUND(G211-I211,10)</f>
        <v>13402</v>
      </c>
      <c r="L211" s="10">
        <f>ROUNDUP(MAX(0,ROUND(J211-G211,10)),0)</f>
        <v>0</v>
      </c>
      <c r="M211" s="10" t="n">
        <v>0</v>
      </c>
      <c r="N211" s="11" t="inlineStr">
        <is>
          <t>ثبت عددی</t>
        </is>
      </c>
      <c r="O211" s="11" t="inlineStr">
        <is>
          <t>عدد</t>
        </is>
      </c>
      <c r="P211" s="11" t="inlineStr"/>
      <c r="Q211" s="13" t="n"/>
      <c r="R211" s="13" t="n"/>
    </row>
    <row r="212" ht="20" customHeight="1">
      <c r="A212" s="5" t="n">
        <v>1110209</v>
      </c>
      <c r="B212" s="6" t="inlineStr">
        <is>
          <t>Resistor 100,5%,1/8W</t>
        </is>
      </c>
      <c r="C212" s="7">
        <f>ROUNDUP(MAX(0,ROUND(I212+J212-G212,10)),0)</f>
        <v>0</v>
      </c>
      <c r="D212" s="8" t="n"/>
      <c r="E212" s="6" t="inlineStr">
        <is>
          <t>دارد</t>
        </is>
      </c>
      <c r="F212" s="6" t="inlineStr">
        <is>
          <t>1</t>
        </is>
      </c>
      <c r="G212" s="5" t="n">
        <v>20276</v>
      </c>
      <c r="H212" s="8" t="n"/>
      <c r="I212" s="5">
        <f>SUMIF('جزئیات BOM'!$G$4:$G$607,A212,'جزئیات BOM'!$S$4:$S$607)</f>
        <v>3500</v>
      </c>
      <c r="J212" s="5">
        <f>SUMIF('جزئیات BOM'!$G$4:$G$607,A212,'جزئیات BOM'!$T$4:$T$607)</f>
        <v>0</v>
      </c>
      <c r="K212" s="5">
        <f>ROUND(G212-I212,10)</f>
        <v>16776</v>
      </c>
      <c r="L212" s="5">
        <f>ROUNDUP(MAX(0,ROUND(J212-G212,10)),0)</f>
        <v>0</v>
      </c>
      <c r="M212" s="5" t="n">
        <v>0</v>
      </c>
      <c r="N212" s="6" t="inlineStr">
        <is>
          <t>ثبت عددی</t>
        </is>
      </c>
      <c r="O212" s="6" t="inlineStr">
        <is>
          <t>عدد</t>
        </is>
      </c>
      <c r="P212" s="6" t="inlineStr">
        <is>
          <t>سهم جایگزین طبق BOM؛ نیازمند تأیید</t>
        </is>
      </c>
      <c r="Q212" s="9" t="n"/>
      <c r="R212" s="9" t="n"/>
    </row>
    <row r="213" ht="20" customHeight="1">
      <c r="A213" s="10" t="n">
        <v>1110223</v>
      </c>
      <c r="B213" s="11" t="inlineStr">
        <is>
          <t>Resistor 470,5%,1/4w.</t>
        </is>
      </c>
      <c r="C213" s="12">
        <f>ROUNDUP(MAX(0,ROUND(I213+J213-G213,10)),0)</f>
        <v>0</v>
      </c>
      <c r="D213" s="8" t="n"/>
      <c r="E213" s="11" t="inlineStr">
        <is>
          <t>دارد</t>
        </is>
      </c>
      <c r="F213" s="11" t="inlineStr">
        <is>
          <t>1</t>
        </is>
      </c>
      <c r="G213" s="10" t="n">
        <v>4878</v>
      </c>
      <c r="H213" s="8" t="n"/>
      <c r="I213" s="10">
        <f>SUMIF('جزئیات BOM'!$G$4:$G$607,A213,'جزئیات BOM'!$S$4:$S$607)</f>
        <v>1155</v>
      </c>
      <c r="J213" s="10">
        <f>SUMIF('جزئیات BOM'!$G$4:$G$607,A213,'جزئیات BOM'!$T$4:$T$607)</f>
        <v>360</v>
      </c>
      <c r="K213" s="10">
        <f>ROUND(G213-I213,10)</f>
        <v>3723</v>
      </c>
      <c r="L213" s="10">
        <f>ROUNDUP(MAX(0,ROUND(J213-G213,10)),0)</f>
        <v>0</v>
      </c>
      <c r="M213" s="10" t="n">
        <v>0</v>
      </c>
      <c r="N213" s="11" t="inlineStr">
        <is>
          <t>ثبت عددی</t>
        </is>
      </c>
      <c r="O213" s="11" t="inlineStr">
        <is>
          <t>عدد</t>
        </is>
      </c>
      <c r="P213" s="11" t="inlineStr">
        <is>
          <t>سهم جایگزین طبق BOM؛ نیازمند تأیید</t>
        </is>
      </c>
      <c r="Q213" s="13" t="n"/>
      <c r="R213" s="13" t="n"/>
    </row>
    <row r="214" ht="20" customHeight="1">
      <c r="A214" s="5" t="n">
        <v>1110226</v>
      </c>
      <c r="B214" s="6" t="inlineStr">
        <is>
          <t>Resistor 560,5%,1/4w</t>
        </is>
      </c>
      <c r="C214" s="7">
        <f>ROUNDUP(MAX(0,ROUND(I214+J214-G214,10)),0)</f>
        <v>0</v>
      </c>
      <c r="D214" s="8" t="n"/>
      <c r="E214" s="6" t="inlineStr">
        <is>
          <t>دارد</t>
        </is>
      </c>
      <c r="F214" s="6" t="inlineStr">
        <is>
          <t>1</t>
        </is>
      </c>
      <c r="G214" s="5" t="n">
        <v>25578</v>
      </c>
      <c r="H214" s="8" t="n"/>
      <c r="I214" s="5">
        <f>SUMIF('جزئیات BOM'!$G$4:$G$607,A214,'جزئیات BOM'!$S$4:$S$607)</f>
        <v>10550</v>
      </c>
      <c r="J214" s="5">
        <f>SUMIF('جزئیات BOM'!$G$4:$G$607,A214,'جزئیات BOM'!$T$4:$T$607)</f>
        <v>4700</v>
      </c>
      <c r="K214" s="5">
        <f>ROUND(G214-I214,10)</f>
        <v>15028</v>
      </c>
      <c r="L214" s="5">
        <f>ROUNDUP(MAX(0,ROUND(J214-G214,10)),0)</f>
        <v>0</v>
      </c>
      <c r="M214" s="5" t="n">
        <v>4922</v>
      </c>
      <c r="N214" s="6" t="inlineStr">
        <is>
          <t>ثبت عددی</t>
        </is>
      </c>
      <c r="O214" s="6" t="inlineStr">
        <is>
          <t>عدد</t>
        </is>
      </c>
      <c r="P214" s="6" t="inlineStr">
        <is>
          <t>سهم جایگزین طبق BOM؛ نیازمند تأیید</t>
        </is>
      </c>
      <c r="Q214" s="9" t="n"/>
      <c r="R214" s="9" t="n"/>
    </row>
    <row r="215" ht="20" customHeight="1">
      <c r="A215" s="10" t="n">
        <v>1110229</v>
      </c>
      <c r="B215" s="11" t="inlineStr">
        <is>
          <t>Resistor 680,5%,1/4W.</t>
        </is>
      </c>
      <c r="C215" s="12">
        <f>ROUNDUP(MAX(0,ROUND(I215+J215-G215,10)),0)</f>
        <v>0</v>
      </c>
      <c r="D215" s="8" t="n"/>
      <c r="E215" s="11" t="inlineStr">
        <is>
          <t>دارد</t>
        </is>
      </c>
      <c r="F215" s="11" t="inlineStr">
        <is>
          <t>1</t>
        </is>
      </c>
      <c r="G215" s="10" t="n">
        <v>52750</v>
      </c>
      <c r="H215" s="8" t="n"/>
      <c r="I215" s="10">
        <f>SUMIF('جزئیات BOM'!$G$4:$G$607,A215,'جزئیات BOM'!$S$4:$S$607)</f>
        <v>22820</v>
      </c>
      <c r="J215" s="10">
        <f>SUMIF('جزئیات BOM'!$G$4:$G$607,A215,'جزئیات BOM'!$T$4:$T$607)</f>
        <v>10040</v>
      </c>
      <c r="K215" s="10">
        <f>ROUND(G215-I215,10)</f>
        <v>29930</v>
      </c>
      <c r="L215" s="10">
        <f>ROUNDUP(MAX(0,ROUND(J215-G215,10)),0)</f>
        <v>0</v>
      </c>
      <c r="M215" s="10" t="n">
        <v>12970</v>
      </c>
      <c r="N215" s="11" t="inlineStr">
        <is>
          <t>ثبت عددی</t>
        </is>
      </c>
      <c r="O215" s="11" t="inlineStr">
        <is>
          <t>عدد</t>
        </is>
      </c>
      <c r="P215" s="11" t="inlineStr">
        <is>
          <t>سهم جایگزین طبق BOM؛ نیازمند تأیید</t>
        </is>
      </c>
      <c r="Q215" s="13" t="n"/>
      <c r="R215" s="13" t="n"/>
    </row>
    <row r="216" ht="20" customHeight="1">
      <c r="A216" s="5" t="n">
        <v>1110232</v>
      </c>
      <c r="B216" s="6" t="inlineStr">
        <is>
          <t>Resistor 820,5%,1/4W</t>
        </is>
      </c>
      <c r="C216" s="7">
        <f>ROUNDUP(MAX(0,ROUND(I216+J216-G216,10)),0)</f>
        <v>0</v>
      </c>
      <c r="D216" s="8" t="n"/>
      <c r="E216" s="6" t="inlineStr">
        <is>
          <t>ندارد</t>
        </is>
      </c>
      <c r="F216" s="6" t="inlineStr">
        <is>
          <t>-</t>
        </is>
      </c>
      <c r="G216" s="5" t="n">
        <v>21091</v>
      </c>
      <c r="H216" s="8" t="n"/>
      <c r="I216" s="5">
        <f>SUMIF('جزئیات BOM'!$G$4:$G$607,A216,'جزئیات BOM'!$S$4:$S$607)</f>
        <v>11650</v>
      </c>
      <c r="J216" s="5">
        <f>SUMIF('جزئیات BOM'!$G$4:$G$607,A216,'جزئیات BOM'!$T$4:$T$607)</f>
        <v>5800</v>
      </c>
      <c r="K216" s="5">
        <f>ROUND(G216-I216,10)</f>
        <v>9441</v>
      </c>
      <c r="L216" s="5">
        <f>ROUNDUP(MAX(0,ROUND(J216-G216,10)),0)</f>
        <v>0</v>
      </c>
      <c r="M216" s="5" t="n">
        <v>0</v>
      </c>
      <c r="N216" s="6" t="inlineStr">
        <is>
          <t>ثبت عددی</t>
        </is>
      </c>
      <c r="O216" s="6" t="inlineStr">
        <is>
          <t>عدد</t>
        </is>
      </c>
      <c r="P216" s="6" t="inlineStr"/>
      <c r="Q216" s="9" t="n"/>
      <c r="R216" s="9" t="n"/>
    </row>
    <row r="217" ht="20" customHeight="1">
      <c r="A217" s="10" t="n">
        <v>1110248</v>
      </c>
      <c r="B217" s="11" t="inlineStr">
        <is>
          <t>Resistor 100,1%,1/4W</t>
        </is>
      </c>
      <c r="C217" s="12">
        <f>ROUNDUP(MAX(0,ROUND(I217+J217-G217,10)),0)</f>
        <v>0</v>
      </c>
      <c r="D217" s="8" t="n"/>
      <c r="E217" s="11" t="inlineStr">
        <is>
          <t>دارد</t>
        </is>
      </c>
      <c r="F217" s="11" t="inlineStr">
        <is>
          <t>2</t>
        </is>
      </c>
      <c r="G217" s="10" t="n">
        <v>4425</v>
      </c>
      <c r="H217" s="8" t="n"/>
      <c r="I217" s="10">
        <f>SUMIF('جزئیات BOM'!$G$4:$G$607,A217,'جزئیات BOM'!$S$4:$S$607)</f>
        <v>2065</v>
      </c>
      <c r="J217" s="10">
        <f>SUMIF('جزئیات BOM'!$G$4:$G$607,A217,'جزئیات BOM'!$T$4:$T$607)</f>
        <v>1380</v>
      </c>
      <c r="K217" s="10">
        <f>ROUND(G217-I217,10)</f>
        <v>2360</v>
      </c>
      <c r="L217" s="10">
        <f>ROUNDUP(MAX(0,ROUND(J217-G217,10)),0)</f>
        <v>0</v>
      </c>
      <c r="M217" s="10" t="n">
        <v>0</v>
      </c>
      <c r="N217" s="11" t="inlineStr">
        <is>
          <t>ثبت عددی</t>
        </is>
      </c>
      <c r="O217" s="11" t="inlineStr">
        <is>
          <t>عدد</t>
        </is>
      </c>
      <c r="P217" s="11" t="inlineStr">
        <is>
          <t>سهم جایگزین طبق BOM؛ نیازمند تأیید</t>
        </is>
      </c>
      <c r="Q217" s="13" t="n"/>
      <c r="R217" s="13" t="n"/>
    </row>
    <row r="218" ht="20" customHeight="1">
      <c r="A218" s="5" t="n">
        <v>1110276</v>
      </c>
      <c r="B218" s="6" t="inlineStr">
        <is>
          <t>Resistor 0 ,5%,1/16W</t>
        </is>
      </c>
      <c r="C218" s="7">
        <f>ROUNDUP(MAX(0,ROUND(I218+J218-G218,10)),0)</f>
        <v>0</v>
      </c>
      <c r="D218" s="8" t="n"/>
      <c r="E218" s="6" t="inlineStr">
        <is>
          <t>ندارد</t>
        </is>
      </c>
      <c r="F218" s="6" t="inlineStr">
        <is>
          <t>-</t>
        </is>
      </c>
      <c r="G218" s="5" t="n">
        <v>132448</v>
      </c>
      <c r="H218" s="8" t="n"/>
      <c r="I218" s="5">
        <f>SUMIF('جزئیات BOM'!$G$4:$G$607,A218,'جزئیات BOM'!$S$4:$S$607)</f>
        <v>51800</v>
      </c>
      <c r="J218" s="5">
        <f>SUMIF('جزئیات BOM'!$G$4:$G$607,A218,'جزئیات BOM'!$T$4:$T$607)</f>
        <v>43200</v>
      </c>
      <c r="K218" s="5">
        <f>ROUND(G218-I218,10)</f>
        <v>80648</v>
      </c>
      <c r="L218" s="5">
        <f>ROUNDUP(MAX(0,ROUND(J218-G218,10)),0)</f>
        <v>0</v>
      </c>
      <c r="M218" s="5" t="n">
        <v>0</v>
      </c>
      <c r="N218" s="6" t="inlineStr">
        <is>
          <t>ثبت عددی</t>
        </is>
      </c>
      <c r="O218" s="6" t="inlineStr">
        <is>
          <t>عدد</t>
        </is>
      </c>
      <c r="P218" s="6" t="inlineStr"/>
      <c r="Q218" s="9" t="n"/>
      <c r="R218" s="9" t="n"/>
    </row>
    <row r="219" ht="20" customHeight="1">
      <c r="A219" s="10" t="n">
        <v>1110277</v>
      </c>
      <c r="B219" s="11" t="inlineStr">
        <is>
          <t>Resistor 0,5%,1/4w (3216(1206</t>
        </is>
      </c>
      <c r="C219" s="12">
        <f>ROUNDUP(MAX(0,ROUND(I219+J219-G219,10)),0)</f>
        <v>0</v>
      </c>
      <c r="D219" s="8" t="n"/>
      <c r="E219" s="11" t="inlineStr">
        <is>
          <t>ندارد</t>
        </is>
      </c>
      <c r="F219" s="11" t="inlineStr">
        <is>
          <t>-</t>
        </is>
      </c>
      <c r="G219" s="10" t="n">
        <v>8000</v>
      </c>
      <c r="H219" s="8" t="n"/>
      <c r="I219" s="10">
        <f>SUMIF('جزئیات BOM'!$G$4:$G$607,A219,'جزئیات BOM'!$S$4:$S$607)</f>
        <v>4320</v>
      </c>
      <c r="J219" s="10">
        <f>SUMIF('جزئیات BOM'!$G$4:$G$607,A219,'جزئیات BOM'!$T$4:$T$607)</f>
        <v>3600</v>
      </c>
      <c r="K219" s="10">
        <f>ROUND(G219-I219,10)</f>
        <v>3680</v>
      </c>
      <c r="L219" s="10">
        <f>ROUNDUP(MAX(0,ROUND(J219-G219,10)),0)</f>
        <v>0</v>
      </c>
      <c r="M219" s="10" t="n">
        <v>0</v>
      </c>
      <c r="N219" s="11" t="inlineStr">
        <is>
          <t>ثبت عددی</t>
        </is>
      </c>
      <c r="O219" s="11" t="inlineStr">
        <is>
          <t>عدد</t>
        </is>
      </c>
      <c r="P219" s="11" t="inlineStr"/>
      <c r="Q219" s="13" t="n"/>
      <c r="R219" s="13" t="n"/>
    </row>
    <row r="220" ht="20" customHeight="1">
      <c r="A220" s="5" t="n">
        <v>1110280</v>
      </c>
      <c r="B220" s="6" t="inlineStr">
        <is>
          <t>Resistor 1K,1%,1/8W</t>
        </is>
      </c>
      <c r="C220" s="7">
        <f>ROUNDUP(MAX(0,ROUND(I220+J220-G220,10)),0)</f>
        <v>0</v>
      </c>
      <c r="D220" s="8" t="n"/>
      <c r="E220" s="6" t="inlineStr">
        <is>
          <t>دارد</t>
        </is>
      </c>
      <c r="F220" s="6" t="inlineStr">
        <is>
          <t>2</t>
        </is>
      </c>
      <c r="G220" s="5" t="n">
        <v>3391</v>
      </c>
      <c r="H220" s="8" t="n"/>
      <c r="I220" s="5">
        <f>SUMIF('جزئیات BOM'!$G$4:$G$607,A220,'جزئیات BOM'!$S$4:$S$607)</f>
        <v>3000</v>
      </c>
      <c r="J220" s="5">
        <f>SUMIF('جزئیات BOM'!$G$4:$G$607,A220,'جزئیات BOM'!$T$4:$T$607)</f>
        <v>0</v>
      </c>
      <c r="K220" s="5">
        <f>ROUND(G220-I220,10)</f>
        <v>391</v>
      </c>
      <c r="L220" s="5">
        <f>ROUNDUP(MAX(0,ROUND(J220-G220,10)),0)</f>
        <v>0</v>
      </c>
      <c r="M220" s="5" t="n">
        <v>0</v>
      </c>
      <c r="N220" s="6" t="inlineStr">
        <is>
          <t>ثبت عددی</t>
        </is>
      </c>
      <c r="O220" s="6" t="inlineStr">
        <is>
          <t>عدد</t>
        </is>
      </c>
      <c r="P220" s="6" t="inlineStr">
        <is>
          <t>سهم جایگزین طبق BOM؛ نیازمند تأیید</t>
        </is>
      </c>
      <c r="Q220" s="9" t="n"/>
      <c r="R220" s="9" t="n"/>
    </row>
    <row r="221" ht="20" customHeight="1">
      <c r="A221" s="10" t="n">
        <v>1110284</v>
      </c>
      <c r="B221" s="11" t="inlineStr">
        <is>
          <t>Resistor 1.2K,5%,1/4W</t>
        </is>
      </c>
      <c r="C221" s="12">
        <f>ROUNDUP(MAX(0,ROUND(I221+J221-G221,10)),0)</f>
        <v>0</v>
      </c>
      <c r="D221" s="8" t="n"/>
      <c r="E221" s="11" t="inlineStr">
        <is>
          <t>ندارد</t>
        </is>
      </c>
      <c r="F221" s="11" t="inlineStr">
        <is>
          <t>-</t>
        </is>
      </c>
      <c r="G221" s="10" t="n">
        <v>52624</v>
      </c>
      <c r="H221" s="8" t="n"/>
      <c r="I221" s="10">
        <f>SUMIF('جزئیات BOM'!$G$4:$G$607,A221,'جزئیات BOM'!$S$4:$S$607)</f>
        <v>25550</v>
      </c>
      <c r="J221" s="10">
        <f>SUMIF('جزئیات BOM'!$G$4:$G$607,A221,'جزئیات BOM'!$T$4:$T$607)</f>
        <v>19200</v>
      </c>
      <c r="K221" s="10">
        <f>ROUND(G221-I221,10)</f>
        <v>27074</v>
      </c>
      <c r="L221" s="10">
        <f>ROUNDUP(MAX(0,ROUND(J221-G221,10)),0)</f>
        <v>0</v>
      </c>
      <c r="M221" s="10" t="n">
        <v>0</v>
      </c>
      <c r="N221" s="11" t="inlineStr">
        <is>
          <t>ثبت عددی</t>
        </is>
      </c>
      <c r="O221" s="11" t="inlineStr">
        <is>
          <t>عدد</t>
        </is>
      </c>
      <c r="P221" s="11" t="inlineStr"/>
      <c r="Q221" s="13" t="n"/>
      <c r="R221" s="13" t="n"/>
    </row>
    <row r="222" ht="20" customHeight="1">
      <c r="A222" s="5" t="n">
        <v>1110285</v>
      </c>
      <c r="B222" s="6" t="inlineStr">
        <is>
          <t>Resistor 1.5k,1%,1/4w</t>
        </is>
      </c>
      <c r="C222" s="7">
        <f>ROUNDUP(MAX(0,ROUND(I222+J222-G222,10)),0)</f>
        <v>0</v>
      </c>
      <c r="D222" s="8" t="n"/>
      <c r="E222" s="6" t="inlineStr">
        <is>
          <t>دارد</t>
        </is>
      </c>
      <c r="F222" s="6" t="inlineStr">
        <is>
          <t>2</t>
        </is>
      </c>
      <c r="G222" s="5" t="n">
        <v>3749</v>
      </c>
      <c r="H222" s="8" t="n"/>
      <c r="I222" s="5">
        <f>SUMIF('جزئیات BOM'!$G$4:$G$607,A222,'جزئیات BOM'!$S$4:$S$607)</f>
        <v>640</v>
      </c>
      <c r="J222" s="5">
        <f>SUMIF('جزئیات BOM'!$G$4:$G$607,A222,'جزئیات BOM'!$T$4:$T$607)</f>
        <v>580</v>
      </c>
      <c r="K222" s="5">
        <f>ROUND(G222-I222,10)</f>
        <v>3109</v>
      </c>
      <c r="L222" s="5">
        <f>ROUNDUP(MAX(0,ROUND(J222-G222,10)),0)</f>
        <v>0</v>
      </c>
      <c r="M222" s="5" t="n">
        <v>0</v>
      </c>
      <c r="N222" s="6" t="inlineStr">
        <is>
          <t>ثبت عددی</t>
        </is>
      </c>
      <c r="O222" s="6" t="inlineStr">
        <is>
          <t>عدد</t>
        </is>
      </c>
      <c r="P222" s="6" t="inlineStr">
        <is>
          <t>سهم جایگزین طبق BOM؛ نیازمند تأیید</t>
        </is>
      </c>
      <c r="Q222" s="9" t="n"/>
      <c r="R222" s="9" t="n"/>
    </row>
    <row r="223" ht="20" customHeight="1">
      <c r="A223" s="10" t="n">
        <v>1110294</v>
      </c>
      <c r="B223" s="11" t="inlineStr">
        <is>
          <t>Resistor 2.2K,5%,1/4W.</t>
        </is>
      </c>
      <c r="C223" s="12">
        <f>ROUNDUP(MAX(0,ROUND(I223+J223-G223,10)),0)</f>
        <v>0</v>
      </c>
      <c r="D223" s="8" t="n"/>
      <c r="E223" s="11" t="inlineStr">
        <is>
          <t>دارد</t>
        </is>
      </c>
      <c r="F223" s="11" t="inlineStr">
        <is>
          <t>1</t>
        </is>
      </c>
      <c r="G223" s="10" t="n">
        <v>4741</v>
      </c>
      <c r="H223" s="8" t="n"/>
      <c r="I223" s="10">
        <f>SUMIF('جزئیات BOM'!$G$4:$G$607,A223,'جزئیات BOM'!$S$4:$S$607)</f>
        <v>1165</v>
      </c>
      <c r="J223" s="10">
        <f>SUMIF('جزئیات BOM'!$G$4:$G$607,A223,'جزئیات BOM'!$T$4:$T$607)</f>
        <v>580</v>
      </c>
      <c r="K223" s="10">
        <f>ROUND(G223-I223,10)</f>
        <v>3576</v>
      </c>
      <c r="L223" s="10">
        <f>ROUNDUP(MAX(0,ROUND(J223-G223,10)),0)</f>
        <v>0</v>
      </c>
      <c r="M223" s="10" t="n">
        <v>0</v>
      </c>
      <c r="N223" s="11" t="inlineStr">
        <is>
          <t>ثبت عددی</t>
        </is>
      </c>
      <c r="O223" s="11" t="inlineStr">
        <is>
          <t>عدد</t>
        </is>
      </c>
      <c r="P223" s="11" t="inlineStr">
        <is>
          <t>سهم جایگزین طبق BOM؛ نیازمند تأیید</t>
        </is>
      </c>
      <c r="Q223" s="13" t="n"/>
      <c r="R223" s="13" t="n"/>
    </row>
    <row r="224" ht="20" customHeight="1">
      <c r="A224" s="5" t="n">
        <v>1110299</v>
      </c>
      <c r="B224" s="6" t="inlineStr">
        <is>
          <t>Resistor 3.3k,5%,1/4w</t>
        </is>
      </c>
      <c r="C224" s="7">
        <f>ROUNDUP(MAX(0,ROUND(I224+J224-G224,10)),0)</f>
        <v>0</v>
      </c>
      <c r="D224" s="8" t="n"/>
      <c r="E224" s="6" t="inlineStr">
        <is>
          <t>دارد</t>
        </is>
      </c>
      <c r="F224" s="6" t="inlineStr">
        <is>
          <t>1</t>
        </is>
      </c>
      <c r="G224" s="5" t="n">
        <v>3744</v>
      </c>
      <c r="H224" s="8" t="n"/>
      <c r="I224" s="5">
        <f>SUMIF('جزئیات BOM'!$G$4:$G$607,A224,'جزئیات BOM'!$S$4:$S$607)</f>
        <v>1890</v>
      </c>
      <c r="J224" s="5">
        <f>SUMIF('جزئیات BOM'!$G$4:$G$607,A224,'جزئیات BOM'!$T$4:$T$607)</f>
        <v>1080</v>
      </c>
      <c r="K224" s="5">
        <f>ROUND(G224-I224,10)</f>
        <v>1854</v>
      </c>
      <c r="L224" s="5">
        <f>ROUNDUP(MAX(0,ROUND(J224-G224,10)),0)</f>
        <v>0</v>
      </c>
      <c r="M224" s="5" t="n">
        <v>2196</v>
      </c>
      <c r="N224" s="6" t="inlineStr">
        <is>
          <t>ثبت عددی</t>
        </is>
      </c>
      <c r="O224" s="6" t="inlineStr">
        <is>
          <t>عدد</t>
        </is>
      </c>
      <c r="P224" s="6" t="inlineStr">
        <is>
          <t>سهم جایگزین طبق BOM؛ نیازمند تأیید</t>
        </is>
      </c>
      <c r="Q224" s="9" t="n"/>
      <c r="R224" s="9" t="n"/>
    </row>
    <row r="225" ht="20" customHeight="1">
      <c r="A225" s="10" t="n">
        <v>1110304</v>
      </c>
      <c r="B225" s="11" t="inlineStr">
        <is>
          <t>Resistor 4.7K,5%,1/8W</t>
        </is>
      </c>
      <c r="C225" s="12">
        <f>ROUNDUP(MAX(0,ROUND(I225+J225-G225,10)),0)</f>
        <v>0</v>
      </c>
      <c r="D225" s="8" t="n"/>
      <c r="E225" s="11" t="inlineStr">
        <is>
          <t>دارد</t>
        </is>
      </c>
      <c r="F225" s="11" t="inlineStr">
        <is>
          <t>1</t>
        </is>
      </c>
      <c r="G225" s="10" t="n">
        <v>8433</v>
      </c>
      <c r="H225" s="8" t="n"/>
      <c r="I225" s="10">
        <f>SUMIF('جزئیات BOM'!$G$4:$G$607,A225,'جزئیات BOM'!$S$4:$S$607)</f>
        <v>500</v>
      </c>
      <c r="J225" s="10">
        <f>SUMIF('جزئیات BOM'!$G$4:$G$607,A225,'جزئیات BOM'!$T$4:$T$607)</f>
        <v>0</v>
      </c>
      <c r="K225" s="10">
        <f>ROUND(G225-I225,10)</f>
        <v>7933</v>
      </c>
      <c r="L225" s="10">
        <f>ROUNDUP(MAX(0,ROUND(J225-G225,10)),0)</f>
        <v>0</v>
      </c>
      <c r="M225" s="10" t="n">
        <v>0</v>
      </c>
      <c r="N225" s="11" t="inlineStr">
        <is>
          <t>ثبت عددی</t>
        </is>
      </c>
      <c r="O225" s="11" t="inlineStr">
        <is>
          <t>عدد</t>
        </is>
      </c>
      <c r="P225" s="11" t="inlineStr">
        <is>
          <t>سهم جایگزین طبق BOM؛ نیازمند تأیید</t>
        </is>
      </c>
      <c r="Q225" s="13" t="n"/>
      <c r="R225" s="13" t="n"/>
    </row>
    <row r="226" ht="20" customHeight="1">
      <c r="A226" s="5" t="n">
        <v>1110311</v>
      </c>
      <c r="B226" s="6" t="inlineStr">
        <is>
          <t>Resistor 10K,5%,1/8W</t>
        </is>
      </c>
      <c r="C226" s="7">
        <f>ROUNDUP(MAX(0,ROUND(I226+J226-G226,10)),0)</f>
        <v>0</v>
      </c>
      <c r="D226" s="8" t="n"/>
      <c r="E226" s="6" t="inlineStr">
        <is>
          <t>دارد</t>
        </is>
      </c>
      <c r="F226" s="6" t="inlineStr">
        <is>
          <t>1</t>
        </is>
      </c>
      <c r="G226" s="5" t="n">
        <v>30426</v>
      </c>
      <c r="H226" s="8" t="n"/>
      <c r="I226" s="5">
        <f>SUMIF('جزئیات BOM'!$G$4:$G$607,A226,'جزئیات BOM'!$S$4:$S$607)</f>
        <v>13350</v>
      </c>
      <c r="J226" s="5">
        <f>SUMIF('جزئیات BOM'!$G$4:$G$607,A226,'جزئیات BOM'!$T$4:$T$607)</f>
        <v>7200</v>
      </c>
      <c r="K226" s="5">
        <f>ROUND(G226-I226,10)</f>
        <v>17076</v>
      </c>
      <c r="L226" s="5">
        <f>ROUNDUP(MAX(0,ROUND(J226-G226,10)),0)</f>
        <v>0</v>
      </c>
      <c r="M226" s="5" t="n">
        <v>0</v>
      </c>
      <c r="N226" s="6" t="inlineStr">
        <is>
          <t>ثبت عددی</t>
        </is>
      </c>
      <c r="O226" s="6" t="inlineStr">
        <is>
          <t>عدد</t>
        </is>
      </c>
      <c r="P226" s="6" t="inlineStr">
        <is>
          <t>سهم جایگزین طبق BOM؛ نیازمند تأیید</t>
        </is>
      </c>
      <c r="Q226" s="9" t="n"/>
      <c r="R226" s="9" t="n"/>
    </row>
    <row r="227" ht="20" customHeight="1">
      <c r="A227" s="10" t="n">
        <v>1110313</v>
      </c>
      <c r="B227" s="11" t="inlineStr">
        <is>
          <t>Resistor 18K,5%,1/8W</t>
        </is>
      </c>
      <c r="C227" s="12">
        <f>ROUNDUP(MAX(0,ROUND(I227+J227-G227,10)),0)</f>
        <v>0</v>
      </c>
      <c r="D227" s="8" t="n"/>
      <c r="E227" s="11" t="inlineStr">
        <is>
          <t>ندارد</t>
        </is>
      </c>
      <c r="F227" s="11" t="inlineStr">
        <is>
          <t>-</t>
        </is>
      </c>
      <c r="G227" s="10" t="n">
        <v>6534</v>
      </c>
      <c r="H227" s="8" t="n"/>
      <c r="I227" s="10">
        <f>SUMIF('جزئیات BOM'!$G$4:$G$607,A227,'جزئیات BOM'!$S$4:$S$607)</f>
        <v>3000</v>
      </c>
      <c r="J227" s="10">
        <f>SUMIF('جزئیات BOM'!$G$4:$G$607,A227,'جزئیات BOM'!$T$4:$T$607)</f>
        <v>0</v>
      </c>
      <c r="K227" s="10">
        <f>ROUND(G227-I227,10)</f>
        <v>3534</v>
      </c>
      <c r="L227" s="10">
        <f>ROUNDUP(MAX(0,ROUND(J227-G227,10)),0)</f>
        <v>0</v>
      </c>
      <c r="M227" s="10" t="n">
        <v>0</v>
      </c>
      <c r="N227" s="11" t="inlineStr">
        <is>
          <t>ثبت عددی</t>
        </is>
      </c>
      <c r="O227" s="11" t="inlineStr">
        <is>
          <t>عدد</t>
        </is>
      </c>
      <c r="P227" s="11" t="inlineStr"/>
      <c r="Q227" s="13" t="n"/>
      <c r="R227" s="13" t="n"/>
    </row>
    <row r="228" ht="20" customHeight="1">
      <c r="A228" s="5" t="n">
        <v>1110318</v>
      </c>
      <c r="B228" s="6" t="inlineStr">
        <is>
          <t>Resistor 27K,1%,1/8W</t>
        </is>
      </c>
      <c r="C228" s="7">
        <f>ROUNDUP(MAX(0,ROUND(I228+J228-G228,10)),0)</f>
        <v>0</v>
      </c>
      <c r="D228" s="8" t="n"/>
      <c r="E228" s="6" t="inlineStr">
        <is>
          <t>دارد</t>
        </is>
      </c>
      <c r="F228" s="6" t="inlineStr">
        <is>
          <t>2</t>
        </is>
      </c>
      <c r="G228" s="5" t="n">
        <v>4786</v>
      </c>
      <c r="H228" s="8" t="n"/>
      <c r="I228" s="5">
        <f>SUMIF('جزئیات BOM'!$G$4:$G$607,A228,'جزئیات BOM'!$S$4:$S$607)</f>
        <v>500</v>
      </c>
      <c r="J228" s="5">
        <f>SUMIF('جزئیات BOM'!$G$4:$G$607,A228,'جزئیات BOM'!$T$4:$T$607)</f>
        <v>0</v>
      </c>
      <c r="K228" s="5">
        <f>ROUND(G228-I228,10)</f>
        <v>4286</v>
      </c>
      <c r="L228" s="5">
        <f>ROUNDUP(MAX(0,ROUND(J228-G228,10)),0)</f>
        <v>0</v>
      </c>
      <c r="M228" s="5" t="n">
        <v>0</v>
      </c>
      <c r="N228" s="6" t="inlineStr">
        <is>
          <t>ثبت عددی</t>
        </is>
      </c>
      <c r="O228" s="6" t="inlineStr">
        <is>
          <t>عدد</t>
        </is>
      </c>
      <c r="P228" s="6" t="inlineStr">
        <is>
          <t>سهم جایگزین طبق BOM؛ نیازمند تأیید</t>
        </is>
      </c>
      <c r="Q228" s="9" t="n"/>
      <c r="R228" s="9" t="n"/>
    </row>
    <row r="229" ht="20" customHeight="1">
      <c r="A229" s="10" t="n">
        <v>1110320</v>
      </c>
      <c r="B229" s="11" t="inlineStr">
        <is>
          <t>Resistor 27K,5%,1/8W</t>
        </is>
      </c>
      <c r="C229" s="12">
        <f>ROUNDUP(MAX(0,ROUND(I229+J229-G229,10)),0)</f>
        <v>0</v>
      </c>
      <c r="D229" s="8" t="n"/>
      <c r="E229" s="11" t="inlineStr">
        <is>
          <t>دارد</t>
        </is>
      </c>
      <c r="F229" s="11" t="inlineStr">
        <is>
          <t>1</t>
        </is>
      </c>
      <c r="G229" s="10" t="n">
        <v>3486</v>
      </c>
      <c r="H229" s="8" t="n"/>
      <c r="I229" s="10">
        <f>SUMIF('جزئیات BOM'!$G$4:$G$607,A229,'جزئیات BOM'!$S$4:$S$607)</f>
        <v>500</v>
      </c>
      <c r="J229" s="10">
        <f>SUMIF('جزئیات BOM'!$G$4:$G$607,A229,'جزئیات BOM'!$T$4:$T$607)</f>
        <v>0</v>
      </c>
      <c r="K229" s="10">
        <f>ROUND(G229-I229,10)</f>
        <v>2986</v>
      </c>
      <c r="L229" s="10">
        <f>ROUNDUP(MAX(0,ROUND(J229-G229,10)),0)</f>
        <v>0</v>
      </c>
      <c r="M229" s="10" t="n">
        <v>0</v>
      </c>
      <c r="N229" s="11" t="inlineStr">
        <is>
          <t>ثبت عددی</t>
        </is>
      </c>
      <c r="O229" s="11" t="inlineStr">
        <is>
          <t>عدد</t>
        </is>
      </c>
      <c r="P229" s="11" t="inlineStr">
        <is>
          <t>سهم جایگزین طبق BOM؛ نیازمند تأیید</t>
        </is>
      </c>
      <c r="Q229" s="13" t="n"/>
      <c r="R229" s="13" t="n"/>
    </row>
    <row r="230" ht="20" customHeight="1">
      <c r="A230" s="5" t="n">
        <v>1110331</v>
      </c>
      <c r="B230" s="6" t="inlineStr">
        <is>
          <t>Resistor 10K,5%,1/4W.</t>
        </is>
      </c>
      <c r="C230" s="7">
        <f>ROUNDUP(MAX(0,ROUND(I230+J230-G230,10)),0)</f>
        <v>0</v>
      </c>
      <c r="D230" s="8" t="n"/>
      <c r="E230" s="6" t="inlineStr">
        <is>
          <t>دارد</t>
        </is>
      </c>
      <c r="F230" s="6" t="inlineStr">
        <is>
          <t>1</t>
        </is>
      </c>
      <c r="G230" s="5" t="n">
        <v>2178</v>
      </c>
      <c r="H230" s="8" t="n"/>
      <c r="I230" s="5">
        <f>SUMIF('جزئیات BOM'!$G$4:$G$607,A230,'جزئیات BOM'!$S$4:$S$607)</f>
        <v>500</v>
      </c>
      <c r="J230" s="5">
        <f>SUMIF('جزئیات BOM'!$G$4:$G$607,A230,'جزئیات BOM'!$T$4:$T$607)</f>
        <v>0</v>
      </c>
      <c r="K230" s="5">
        <f>ROUND(G230-I230,10)</f>
        <v>1678</v>
      </c>
      <c r="L230" s="5">
        <f>ROUNDUP(MAX(0,ROUND(J230-G230,10)),0)</f>
        <v>0</v>
      </c>
      <c r="M230" s="5" t="n">
        <v>0</v>
      </c>
      <c r="N230" s="6" t="inlineStr">
        <is>
          <t>ثبت عددی</t>
        </is>
      </c>
      <c r="O230" s="6" t="inlineStr">
        <is>
          <t>عدد</t>
        </is>
      </c>
      <c r="P230" s="6" t="inlineStr">
        <is>
          <t>سهم جایگزین طبق BOM؛ نیازمند تأیید</t>
        </is>
      </c>
      <c r="Q230" s="9" t="n"/>
      <c r="R230" s="9" t="n"/>
    </row>
    <row r="231" ht="20" customHeight="1">
      <c r="A231" s="10" t="n">
        <v>1110332</v>
      </c>
      <c r="B231" s="11" t="inlineStr">
        <is>
          <t>Resistor 100K,1%,1/8W</t>
        </is>
      </c>
      <c r="C231" s="12">
        <f>ROUNDUP(MAX(0,ROUND(I231+J231-G231,10)),0)</f>
        <v>0</v>
      </c>
      <c r="D231" s="8" t="n"/>
      <c r="E231" s="11" t="inlineStr">
        <is>
          <t>ندارد</t>
        </is>
      </c>
      <c r="F231" s="11" t="inlineStr">
        <is>
          <t>-</t>
        </is>
      </c>
      <c r="G231" s="10" t="n">
        <v>6566</v>
      </c>
      <c r="H231" s="8" t="n"/>
      <c r="I231" s="10">
        <f>SUMIF('جزئیات BOM'!$G$4:$G$607,A231,'جزئیات BOM'!$S$4:$S$607)</f>
        <v>1000</v>
      </c>
      <c r="J231" s="10">
        <f>SUMIF('جزئیات BOM'!$G$4:$G$607,A231,'جزئیات BOM'!$T$4:$T$607)</f>
        <v>0</v>
      </c>
      <c r="K231" s="10">
        <f>ROUND(G231-I231,10)</f>
        <v>5566</v>
      </c>
      <c r="L231" s="10">
        <f>ROUNDUP(MAX(0,ROUND(J231-G231,10)),0)</f>
        <v>0</v>
      </c>
      <c r="M231" s="10" t="n">
        <v>0</v>
      </c>
      <c r="N231" s="11" t="inlineStr">
        <is>
          <t>ثبت عددی</t>
        </is>
      </c>
      <c r="O231" s="11" t="inlineStr">
        <is>
          <t>عدد</t>
        </is>
      </c>
      <c r="P231" s="11" t="inlineStr"/>
      <c r="Q231" s="13" t="n"/>
      <c r="R231" s="13" t="n"/>
    </row>
    <row r="232" ht="20" customHeight="1">
      <c r="A232" s="5" t="n">
        <v>1110337</v>
      </c>
      <c r="B232" s="6" t="inlineStr">
        <is>
          <t>Resistor 22K,5%,1/12W</t>
        </is>
      </c>
      <c r="C232" s="7">
        <f>ROUNDUP(MAX(0,ROUND(I232+J232-G232,10)),0)</f>
        <v>0</v>
      </c>
      <c r="D232" s="8" t="n"/>
      <c r="E232" s="6" t="inlineStr">
        <is>
          <t>دارد</t>
        </is>
      </c>
      <c r="F232" s="6" t="inlineStr">
        <is>
          <t>1</t>
        </is>
      </c>
      <c r="G232" s="5" t="n">
        <v>84866</v>
      </c>
      <c r="H232" s="8" t="n"/>
      <c r="I232" s="5">
        <f>SUMIF('جزئیات BOM'!$G$4:$G$607,A232,'جزئیات BOM'!$S$4:$S$607)</f>
        <v>44970</v>
      </c>
      <c r="J232" s="5">
        <f>SUMIF('جزئیات BOM'!$G$4:$G$607,A232,'جزئیات BOM'!$T$4:$T$607)</f>
        <v>38180</v>
      </c>
      <c r="K232" s="5">
        <f>ROUND(G232-I232,10)</f>
        <v>39896</v>
      </c>
      <c r="L232" s="5">
        <f>ROUNDUP(MAX(0,ROUND(J232-G232,10)),0)</f>
        <v>0</v>
      </c>
      <c r="M232" s="5" t="n">
        <v>75034</v>
      </c>
      <c r="N232" s="6" t="inlineStr">
        <is>
          <t>ثبت عددی</t>
        </is>
      </c>
      <c r="O232" s="6" t="inlineStr">
        <is>
          <t>عدد</t>
        </is>
      </c>
      <c r="P232" s="6" t="inlineStr">
        <is>
          <t>سهم جایگزین طبق BOM؛ نیازمند تأیید | ۱۰۰٪ تکراری: اولویت اول</t>
        </is>
      </c>
      <c r="Q232" s="9" t="n"/>
      <c r="R232" s="9" t="n"/>
    </row>
    <row r="233" ht="20" customHeight="1">
      <c r="A233" s="10" t="n">
        <v>1110375</v>
      </c>
      <c r="B233" s="11" t="inlineStr">
        <is>
          <t>Resistor 100,5%,1/4 W</t>
        </is>
      </c>
      <c r="C233" s="12">
        <f>ROUNDUP(MAX(0,ROUND(I233+J233-G233,10)),0)</f>
        <v>0</v>
      </c>
      <c r="D233" s="8" t="n"/>
      <c r="E233" s="11" t="inlineStr">
        <is>
          <t>دارد</t>
        </is>
      </c>
      <c r="F233" s="11" t="inlineStr">
        <is>
          <t>1</t>
        </is>
      </c>
      <c r="G233" s="10" t="n">
        <v>7865</v>
      </c>
      <c r="H233" s="8" t="n"/>
      <c r="I233" s="10">
        <f>SUMIF('جزئیات BOM'!$G$4:$G$607,A233,'جزئیات BOM'!$S$4:$S$607)</f>
        <v>2065</v>
      </c>
      <c r="J233" s="10">
        <f>SUMIF('جزئیات BOM'!$G$4:$G$607,A233,'جزئیات BOM'!$T$4:$T$607)</f>
        <v>1380</v>
      </c>
      <c r="K233" s="10">
        <f>ROUND(G233-I233,10)</f>
        <v>5800</v>
      </c>
      <c r="L233" s="10">
        <f>ROUNDUP(MAX(0,ROUND(J233-G233,10)),0)</f>
        <v>0</v>
      </c>
      <c r="M233" s="10" t="n">
        <v>0</v>
      </c>
      <c r="N233" s="11" t="inlineStr">
        <is>
          <t>ثبت عددی</t>
        </is>
      </c>
      <c r="O233" s="11" t="inlineStr">
        <is>
          <t>عدد</t>
        </is>
      </c>
      <c r="P233" s="11" t="inlineStr">
        <is>
          <t>سهم جایگزین طبق BOM؛ نیازمند تأیید</t>
        </is>
      </c>
      <c r="Q233" s="13" t="n"/>
      <c r="R233" s="13" t="n"/>
    </row>
    <row r="234" ht="20" customHeight="1">
      <c r="A234" s="5" t="n">
        <v>1110376</v>
      </c>
      <c r="B234" s="6" t="inlineStr">
        <is>
          <t>Resistor 1K,5%,1/4 W</t>
        </is>
      </c>
      <c r="C234" s="7">
        <f>ROUNDUP(MAX(0,ROUND(I234+J234-G234,10)),0)</f>
        <v>0</v>
      </c>
      <c r="D234" s="8" t="n"/>
      <c r="E234" s="6" t="inlineStr">
        <is>
          <t>دارد</t>
        </is>
      </c>
      <c r="F234" s="6" t="inlineStr">
        <is>
          <t>1</t>
        </is>
      </c>
      <c r="G234" s="5" t="n">
        <v>24259</v>
      </c>
      <c r="H234" s="8" t="n"/>
      <c r="I234" s="5">
        <f>SUMIF('جزئیات BOM'!$G$4:$G$607,A234,'جزئیات BOM'!$S$4:$S$607)</f>
        <v>6425</v>
      </c>
      <c r="J234" s="5">
        <f>SUMIF('جزئیات BOM'!$G$4:$G$607,A234,'جزئیات BOM'!$T$4:$T$607)</f>
        <v>4800</v>
      </c>
      <c r="K234" s="5">
        <f>ROUND(G234-I234,10)</f>
        <v>17834</v>
      </c>
      <c r="L234" s="5">
        <f>ROUNDUP(MAX(0,ROUND(J234-G234,10)),0)</f>
        <v>0</v>
      </c>
      <c r="M234" s="5" t="n">
        <v>0</v>
      </c>
      <c r="N234" s="6" t="inlineStr">
        <is>
          <t>ثبت عددی</t>
        </is>
      </c>
      <c r="O234" s="6" t="inlineStr">
        <is>
          <t>عدد</t>
        </is>
      </c>
      <c r="P234" s="6" t="inlineStr">
        <is>
          <t>سهم جایگزین طبق BOM؛ نیازمند تأیید</t>
        </is>
      </c>
      <c r="Q234" s="9" t="n"/>
      <c r="R234" s="9" t="n"/>
    </row>
    <row r="235" ht="20" customHeight="1">
      <c r="A235" s="10" t="n">
        <v>1110388</v>
      </c>
      <c r="B235" s="11" t="inlineStr">
        <is>
          <t>Resistor 100K,1%,1/10W</t>
        </is>
      </c>
      <c r="C235" s="12">
        <f>ROUNDUP(MAX(0,ROUND(I235+J235-G235,10)),0)</f>
        <v>0</v>
      </c>
      <c r="D235" s="8" t="n"/>
      <c r="E235" s="11" t="inlineStr">
        <is>
          <t>ندارد</t>
        </is>
      </c>
      <c r="F235" s="11" t="inlineStr">
        <is>
          <t>-</t>
        </is>
      </c>
      <c r="G235" s="10" t="n">
        <v>6024</v>
      </c>
      <c r="H235" s="8" t="n"/>
      <c r="I235" s="10">
        <f>SUMIF('جزئیات BOM'!$G$4:$G$607,A235,'جزئیات BOM'!$S$4:$S$607)</f>
        <v>2920</v>
      </c>
      <c r="J235" s="10">
        <f>SUMIF('جزئیات BOM'!$G$4:$G$607,A235,'جزئیات BOM'!$T$4:$T$607)</f>
        <v>2400</v>
      </c>
      <c r="K235" s="10">
        <f>ROUND(G235-I235,10)</f>
        <v>3104</v>
      </c>
      <c r="L235" s="10">
        <f>ROUNDUP(MAX(0,ROUND(J235-G235,10)),0)</f>
        <v>0</v>
      </c>
      <c r="M235" s="10" t="n">
        <v>0</v>
      </c>
      <c r="N235" s="11" t="inlineStr">
        <is>
          <t>ثبت عددی</t>
        </is>
      </c>
      <c r="O235" s="11" t="inlineStr">
        <is>
          <t>عدد</t>
        </is>
      </c>
      <c r="P235" s="11" t="inlineStr"/>
      <c r="Q235" s="13" t="n"/>
      <c r="R235" s="13" t="n"/>
    </row>
    <row r="236" ht="20" customHeight="1">
      <c r="A236" s="5" t="n">
        <v>1110397</v>
      </c>
      <c r="B236" s="6" t="inlineStr">
        <is>
          <t>Resistor 470,5%,1/12W</t>
        </is>
      </c>
      <c r="C236" s="7">
        <f>ROUNDUP(MAX(0,ROUND(I236+J236-G236,10)),0)</f>
        <v>0</v>
      </c>
      <c r="D236" s="8" t="n"/>
      <c r="E236" s="6" t="inlineStr">
        <is>
          <t>ندارد</t>
        </is>
      </c>
      <c r="F236" s="6" t="inlineStr">
        <is>
          <t>-</t>
        </is>
      </c>
      <c r="G236" s="5" t="n">
        <v>15634</v>
      </c>
      <c r="H236" s="8" t="n"/>
      <c r="I236" s="5">
        <f>SUMIF('جزئیات BOM'!$G$4:$G$607,A236,'جزئیات BOM'!$S$4:$S$607)</f>
        <v>2130</v>
      </c>
      <c r="J236" s="5">
        <f>SUMIF('جزئیات BOM'!$G$4:$G$607,A236,'جزئیات BOM'!$T$4:$T$607)</f>
        <v>360</v>
      </c>
      <c r="K236" s="5">
        <f>ROUND(G236-I236,10)</f>
        <v>13504</v>
      </c>
      <c r="L236" s="5">
        <f>ROUNDUP(MAX(0,ROUND(J236-G236,10)),0)</f>
        <v>0</v>
      </c>
      <c r="M236" s="5" t="n">
        <v>0</v>
      </c>
      <c r="N236" s="6" t="inlineStr">
        <is>
          <t>ثبت عددی</t>
        </is>
      </c>
      <c r="O236" s="6" t="inlineStr">
        <is>
          <t>عدد</t>
        </is>
      </c>
      <c r="P236" s="6" t="inlineStr"/>
      <c r="Q236" s="9" t="n"/>
      <c r="R236" s="9" t="n"/>
    </row>
    <row r="237" ht="20" customHeight="1">
      <c r="A237" s="10" t="n">
        <v>1110398</v>
      </c>
      <c r="B237" s="11" t="inlineStr">
        <is>
          <t>Resistor 1.2K, 1%, 1/10W</t>
        </is>
      </c>
      <c r="C237" s="12">
        <f>ROUNDUP(MAX(0,ROUND(I237+J237-G237,10)),0)</f>
        <v>0</v>
      </c>
      <c r="D237" s="8" t="n"/>
      <c r="E237" s="11" t="inlineStr">
        <is>
          <t>ندارد</t>
        </is>
      </c>
      <c r="F237" s="11" t="inlineStr">
        <is>
          <t>-</t>
        </is>
      </c>
      <c r="G237" s="10" t="n">
        <v>2955</v>
      </c>
      <c r="H237" s="8" t="n"/>
      <c r="I237" s="10">
        <f>SUMIF('جزئیات BOM'!$G$4:$G$607,A237,'جزئیات BOM'!$S$4:$S$607)</f>
        <v>1460</v>
      </c>
      <c r="J237" s="10">
        <f>SUMIF('جزئیات BOM'!$G$4:$G$607,A237,'جزئیات BOM'!$T$4:$T$607)</f>
        <v>1200</v>
      </c>
      <c r="K237" s="10">
        <f>ROUND(G237-I237,10)</f>
        <v>1495</v>
      </c>
      <c r="L237" s="10">
        <f>ROUNDUP(MAX(0,ROUND(J237-G237,10)),0)</f>
        <v>0</v>
      </c>
      <c r="M237" s="10" t="n">
        <v>0</v>
      </c>
      <c r="N237" s="11" t="inlineStr">
        <is>
          <t>ثبت عددی</t>
        </is>
      </c>
      <c r="O237" s="11" t="inlineStr">
        <is>
          <t>عدد</t>
        </is>
      </c>
      <c r="P237" s="11" t="inlineStr"/>
      <c r="Q237" s="13" t="n"/>
      <c r="R237" s="13" t="n"/>
    </row>
    <row r="238" ht="20" customHeight="1">
      <c r="A238" s="5" t="n">
        <v>1110460</v>
      </c>
      <c r="B238" s="6" t="inlineStr">
        <is>
          <t>IC CAN Transceiver TJA1042T</t>
        </is>
      </c>
      <c r="C238" s="7">
        <f>ROUNDUP(MAX(0,ROUND(I238+J238-G238,10)),0)</f>
        <v>0</v>
      </c>
      <c r="D238" s="8" t="n"/>
      <c r="E238" s="6" t="inlineStr">
        <is>
          <t>دارد</t>
        </is>
      </c>
      <c r="F238" s="6" t="inlineStr">
        <is>
          <t>2</t>
        </is>
      </c>
      <c r="G238" s="5" t="n">
        <v>11359</v>
      </c>
      <c r="H238" s="8" t="n"/>
      <c r="I238" s="5">
        <f>SUMIF('جزئیات BOM'!$G$4:$G$607,A238,'جزئیات BOM'!$S$4:$S$607)</f>
        <v>2685</v>
      </c>
      <c r="J238" s="5">
        <f>SUMIF('جزئیات BOM'!$G$4:$G$607,A238,'جزئیات BOM'!$T$4:$T$607)</f>
        <v>2400</v>
      </c>
      <c r="K238" s="5">
        <f>ROUND(G238-I238,10)</f>
        <v>8674</v>
      </c>
      <c r="L238" s="5">
        <f>ROUNDUP(MAX(0,ROUND(J238-G238,10)),0)</f>
        <v>0</v>
      </c>
      <c r="M238" s="5" t="n">
        <v>0</v>
      </c>
      <c r="N238" s="6" t="inlineStr">
        <is>
          <t>ثبت عددی</t>
        </is>
      </c>
      <c r="O238" s="6" t="inlineStr">
        <is>
          <t>عدد</t>
        </is>
      </c>
      <c r="P238" s="6" t="inlineStr">
        <is>
          <t>سهم جایگزین طبق BOM؛ نیازمند تأیید</t>
        </is>
      </c>
      <c r="Q238" s="9" t="n"/>
      <c r="R238" s="9" t="n"/>
    </row>
    <row r="239" ht="20" customHeight="1">
      <c r="A239" s="10" t="n">
        <v>1110484</v>
      </c>
      <c r="B239" s="11" t="inlineStr">
        <is>
          <t>IC BSP78</t>
        </is>
      </c>
      <c r="C239" s="12">
        <f>ROUNDUP(MAX(0,ROUND(I239+J239-G239,10)),0)</f>
        <v>0</v>
      </c>
      <c r="D239" s="8" t="n"/>
      <c r="E239" s="11" t="inlineStr">
        <is>
          <t>دارد</t>
        </is>
      </c>
      <c r="F239" s="11" t="inlineStr">
        <is>
          <t>1</t>
        </is>
      </c>
      <c r="G239" s="10" t="n">
        <v>3404</v>
      </c>
      <c r="H239" s="8" t="n"/>
      <c r="I239" s="10">
        <f>SUMIF('جزئیات BOM'!$G$4:$G$607,A239,'جزئیات BOM'!$S$4:$S$607)</f>
        <v>700</v>
      </c>
      <c r="J239" s="10">
        <f>SUMIF('جزئیات BOM'!$G$4:$G$607,A239,'جزئیات BOM'!$T$4:$T$607)</f>
        <v>600</v>
      </c>
      <c r="K239" s="10">
        <f>ROUND(G239-I239,10)</f>
        <v>2704</v>
      </c>
      <c r="L239" s="10">
        <f>ROUNDUP(MAX(0,ROUND(J239-G239,10)),0)</f>
        <v>0</v>
      </c>
      <c r="M239" s="10" t="n">
        <v>0</v>
      </c>
      <c r="N239" s="11" t="inlineStr">
        <is>
          <t>ثبت عددی</t>
        </is>
      </c>
      <c r="O239" s="11" t="inlineStr">
        <is>
          <t>عدد</t>
        </is>
      </c>
      <c r="P239" s="11" t="inlineStr">
        <is>
          <t>سهم جایگزین طبق BOM؛ نیازمند تأیید</t>
        </is>
      </c>
      <c r="Q239" s="13" t="n"/>
      <c r="R239" s="13" t="n"/>
    </row>
    <row r="240" ht="20" customHeight="1">
      <c r="A240" s="5" t="n">
        <v>1110488</v>
      </c>
      <c r="B240" s="6" t="inlineStr">
        <is>
          <t>IC Micro controller RL78 R5F10TPJJFB</t>
        </is>
      </c>
      <c r="C240" s="7">
        <f>ROUNDUP(MAX(0,ROUND(I240+J240-G240,10)),0)</f>
        <v>0</v>
      </c>
      <c r="D240" s="8" t="n"/>
      <c r="E240" s="6" t="inlineStr">
        <is>
          <t>دارد</t>
        </is>
      </c>
      <c r="F240" s="6" t="inlineStr">
        <is>
          <t>1</t>
        </is>
      </c>
      <c r="G240" s="5" t="n">
        <v>1346</v>
      </c>
      <c r="H240" s="8" t="n"/>
      <c r="I240" s="5">
        <f>SUMIF('جزئیات BOM'!$G$4:$G$607,A240,'جزئیات BOM'!$S$4:$S$607)</f>
        <v>640</v>
      </c>
      <c r="J240" s="5">
        <f>SUMIF('جزئیات BOM'!$G$4:$G$607,A240,'جزئیات BOM'!$T$4:$T$607)</f>
        <v>580</v>
      </c>
      <c r="K240" s="5">
        <f>ROUND(G240-I240,10)</f>
        <v>706</v>
      </c>
      <c r="L240" s="5">
        <f>ROUNDUP(MAX(0,ROUND(J240-G240,10)),0)</f>
        <v>0</v>
      </c>
      <c r="M240" s="5" t="n">
        <v>1094</v>
      </c>
      <c r="N240" s="6" t="inlineStr">
        <is>
          <t>ثبت عددی</t>
        </is>
      </c>
      <c r="O240" s="6" t="inlineStr">
        <is>
          <t>عدد</t>
        </is>
      </c>
      <c r="P240" s="6" t="inlineStr">
        <is>
          <t>سهم جایگزین طبق BOM؛ نیازمند تأیید</t>
        </is>
      </c>
      <c r="Q240" s="9" t="n"/>
      <c r="R240" s="9" t="n"/>
    </row>
    <row r="241" ht="20" customHeight="1">
      <c r="A241" s="10" t="n">
        <v>1110489</v>
      </c>
      <c r="B241" s="11" t="inlineStr">
        <is>
          <t>IC TA31275FNG</t>
        </is>
      </c>
      <c r="C241" s="12">
        <f>ROUNDUP(MAX(0,ROUND(I241+J241-G241,10)),0)</f>
        <v>0</v>
      </c>
      <c r="D241" s="8" t="n"/>
      <c r="E241" s="11" t="inlineStr">
        <is>
          <t>ندارد</t>
        </is>
      </c>
      <c r="F241" s="11" t="inlineStr">
        <is>
          <t>-</t>
        </is>
      </c>
      <c r="G241" s="10" t="n">
        <v>8626</v>
      </c>
      <c r="H241" s="8" t="n"/>
      <c r="I241" s="10">
        <f>SUMIF('جزئیات BOM'!$G$4:$G$607,A241,'جزئیات BOM'!$S$4:$S$607)</f>
        <v>2300</v>
      </c>
      <c r="J241" s="10">
        <f>SUMIF('جزئیات BOM'!$G$4:$G$607,A241,'جزئیات BOM'!$T$4:$T$607)</f>
        <v>4000</v>
      </c>
      <c r="K241" s="10">
        <f>ROUND(G241-I241,10)</f>
        <v>6326</v>
      </c>
      <c r="L241" s="10">
        <f>ROUNDUP(MAX(0,ROUND(J241-G241,10)),0)</f>
        <v>0</v>
      </c>
      <c r="M241" s="10" t="n">
        <v>0</v>
      </c>
      <c r="N241" s="11" t="inlineStr">
        <is>
          <t>ثبت عددی</t>
        </is>
      </c>
      <c r="O241" s="11" t="inlineStr">
        <is>
          <t>عدد</t>
        </is>
      </c>
      <c r="P241" s="11" t="inlineStr"/>
      <c r="Q241" s="13" t="n"/>
      <c r="R241" s="13" t="n"/>
    </row>
    <row r="242" ht="20" customHeight="1">
      <c r="A242" s="5" t="n">
        <v>1110491</v>
      </c>
      <c r="B242" s="6" t="inlineStr">
        <is>
          <t>IC L9950XP</t>
        </is>
      </c>
      <c r="C242" s="7">
        <f>ROUNDUP(MAX(0,ROUND(I242+J242-G242,10)),0)</f>
        <v>0</v>
      </c>
      <c r="D242" s="8" t="n"/>
      <c r="E242" s="6" t="inlineStr">
        <is>
          <t>ندارد</t>
        </is>
      </c>
      <c r="F242" s="6" t="inlineStr">
        <is>
          <t>-</t>
        </is>
      </c>
      <c r="G242" s="5" t="n">
        <v>5383</v>
      </c>
      <c r="H242" s="8" t="n"/>
      <c r="I242" s="5">
        <f>SUMIF('جزئیات BOM'!$G$4:$G$607,A242,'جزئیات BOM'!$S$4:$S$607)</f>
        <v>2200</v>
      </c>
      <c r="J242" s="5">
        <f>SUMIF('جزئیات BOM'!$G$4:$G$607,A242,'جزئیات BOM'!$T$4:$T$607)</f>
        <v>2000</v>
      </c>
      <c r="K242" s="5">
        <f>ROUND(G242-I242,10)</f>
        <v>3183</v>
      </c>
      <c r="L242" s="5">
        <f>ROUNDUP(MAX(0,ROUND(J242-G242,10)),0)</f>
        <v>0</v>
      </c>
      <c r="M242" s="5" t="n">
        <v>0</v>
      </c>
      <c r="N242" s="6" t="inlineStr">
        <is>
          <t>ثبت عددی</t>
        </is>
      </c>
      <c r="O242" s="6" t="inlineStr">
        <is>
          <t>عدد</t>
        </is>
      </c>
      <c r="P242" s="6" t="inlineStr"/>
      <c r="Q242" s="9" t="n"/>
      <c r="R242" s="9" t="n"/>
    </row>
    <row r="243" ht="20" customHeight="1">
      <c r="A243" s="10" t="n">
        <v>1110518</v>
      </c>
      <c r="B243" s="11" t="inlineStr">
        <is>
          <t>IC Microcontroller PIC16F18345-I/SO</t>
        </is>
      </c>
      <c r="C243" s="12">
        <f>ROUNDUP(MAX(0,ROUND(I243+J243-G243,10)),0)</f>
        <v>0</v>
      </c>
      <c r="D243" s="8" t="n"/>
      <c r="E243" s="11" t="inlineStr">
        <is>
          <t>دارد</t>
        </is>
      </c>
      <c r="F243" s="11" t="inlineStr">
        <is>
          <t>1</t>
        </is>
      </c>
      <c r="G243" s="10" t="n">
        <v>3532</v>
      </c>
      <c r="H243" s="8" t="n"/>
      <c r="I243" s="10">
        <f>SUMIF('جزئیات BOM'!$G$4:$G$607,A243,'جزئیات BOM'!$S$4:$S$607)</f>
        <v>500</v>
      </c>
      <c r="J243" s="10">
        <f>SUMIF('جزئیات BOM'!$G$4:$G$607,A243,'جزئیات BOM'!$T$4:$T$607)</f>
        <v>0</v>
      </c>
      <c r="K243" s="10">
        <f>ROUND(G243-I243,10)</f>
        <v>3032</v>
      </c>
      <c r="L243" s="10">
        <f>ROUNDUP(MAX(0,ROUND(J243-G243,10)),0)</f>
        <v>0</v>
      </c>
      <c r="M243" s="10" t="n">
        <v>0</v>
      </c>
      <c r="N243" s="11" t="inlineStr">
        <is>
          <t>ثبت عددی</t>
        </is>
      </c>
      <c r="O243" s="11" t="inlineStr">
        <is>
          <t>عدد</t>
        </is>
      </c>
      <c r="P243" s="11" t="inlineStr">
        <is>
          <t>سهم جایگزین طبق BOM؛ نیازمند تأیید</t>
        </is>
      </c>
      <c r="Q243" s="13" t="n"/>
      <c r="R243" s="13" t="n"/>
    </row>
    <row r="244" ht="20" customHeight="1">
      <c r="A244" s="5" t="n">
        <v>1110519</v>
      </c>
      <c r="B244" s="6" t="inlineStr">
        <is>
          <t>IC,MCU,32-BIT,Microcontroller, R7F015834AFP</t>
        </is>
      </c>
      <c r="C244" s="7">
        <f>ROUNDUP(MAX(0,ROUND(I244+J244-G244,10)),0)</f>
        <v>0</v>
      </c>
      <c r="D244" s="8" t="n"/>
      <c r="E244" s="6" t="inlineStr">
        <is>
          <t>دارد</t>
        </is>
      </c>
      <c r="F244" s="6" t="inlineStr">
        <is>
          <t>1</t>
        </is>
      </c>
      <c r="G244" s="5" t="n">
        <v>4304</v>
      </c>
      <c r="H244" s="8" t="n"/>
      <c r="I244" s="5">
        <f>SUMIF('جزئیات BOM'!$G$4:$G$607,A244,'جزئیات BOM'!$S$4:$S$607)</f>
        <v>700</v>
      </c>
      <c r="J244" s="5">
        <f>SUMIF('جزئیات BOM'!$G$4:$G$607,A244,'جزئیات BOM'!$T$4:$T$607)</f>
        <v>600</v>
      </c>
      <c r="K244" s="5">
        <f>ROUND(G244-I244,10)</f>
        <v>3604</v>
      </c>
      <c r="L244" s="5">
        <f>ROUNDUP(MAX(0,ROUND(J244-G244,10)),0)</f>
        <v>0</v>
      </c>
      <c r="M244" s="5" t="n">
        <v>0</v>
      </c>
      <c r="N244" s="6" t="inlineStr">
        <is>
          <t>ثبت عددی</t>
        </is>
      </c>
      <c r="O244" s="6" t="inlineStr">
        <is>
          <t>عدد</t>
        </is>
      </c>
      <c r="P244" s="6" t="inlineStr">
        <is>
          <t>سهم جایگزین طبق BOM؛ نیازمند تأیید</t>
        </is>
      </c>
      <c r="Q244" s="9" t="n"/>
      <c r="R244" s="9" t="n"/>
    </row>
    <row r="245" ht="20" customHeight="1">
      <c r="A245" s="10" t="n">
        <v>1110558</v>
      </c>
      <c r="B245" s="11" t="inlineStr">
        <is>
          <t>(0603) Capacitor 27N,50V,10% X7R</t>
        </is>
      </c>
      <c r="C245" s="12">
        <f>ROUNDUP(MAX(0,ROUND(I245+J245-G245,10)),0)</f>
        <v>0</v>
      </c>
      <c r="D245" s="8" t="n"/>
      <c r="E245" s="11" t="inlineStr">
        <is>
          <t>ندارد</t>
        </is>
      </c>
      <c r="F245" s="11" t="inlineStr">
        <is>
          <t>-</t>
        </is>
      </c>
      <c r="G245" s="10" t="n">
        <v>5121</v>
      </c>
      <c r="H245" s="8" t="n"/>
      <c r="I245" s="10">
        <f>SUMIF('جزئیات BOM'!$G$4:$G$607,A245,'جزئیات BOM'!$S$4:$S$607)</f>
        <v>630</v>
      </c>
      <c r="J245" s="10">
        <f>SUMIF('جزئیات BOM'!$G$4:$G$607,A245,'جزئیات BOM'!$T$4:$T$607)</f>
        <v>360</v>
      </c>
      <c r="K245" s="10">
        <f>ROUND(G245-I245,10)</f>
        <v>4491</v>
      </c>
      <c r="L245" s="10">
        <f>ROUNDUP(MAX(0,ROUND(J245-G245,10)),0)</f>
        <v>0</v>
      </c>
      <c r="M245" s="10" t="n">
        <v>0</v>
      </c>
      <c r="N245" s="11" t="inlineStr">
        <is>
          <t>ثبت عددی</t>
        </is>
      </c>
      <c r="O245" s="11" t="inlineStr">
        <is>
          <t>عدد</t>
        </is>
      </c>
      <c r="P245" s="11" t="inlineStr"/>
      <c r="Q245" s="13" t="n"/>
      <c r="R245" s="13" t="n"/>
    </row>
    <row r="246" ht="20" customHeight="1">
      <c r="A246" s="5" t="n">
        <v>1110572</v>
      </c>
      <c r="B246" s="6" t="inlineStr">
        <is>
          <t>Resistor 1.2K,1%,1/16W</t>
        </is>
      </c>
      <c r="C246" s="7">
        <f>ROUNDUP(MAX(0,ROUND(I246+J246-G246,10)),0)</f>
        <v>0</v>
      </c>
      <c r="D246" s="8" t="n"/>
      <c r="E246" s="6" t="inlineStr">
        <is>
          <t>ندارد</t>
        </is>
      </c>
      <c r="F246" s="6" t="inlineStr">
        <is>
          <t>-</t>
        </is>
      </c>
      <c r="G246" s="5" t="n">
        <v>4765</v>
      </c>
      <c r="H246" s="8" t="n"/>
      <c r="I246" s="5">
        <f>SUMIF('جزئیات BOM'!$G$4:$G$607,A246,'جزئیات BOM'!$S$4:$S$607)</f>
        <v>1750</v>
      </c>
      <c r="J246" s="5">
        <f>SUMIF('جزئیات BOM'!$G$4:$G$607,A246,'جزئیات BOM'!$T$4:$T$607)</f>
        <v>1200</v>
      </c>
      <c r="K246" s="5">
        <f>ROUND(G246-I246,10)</f>
        <v>3015</v>
      </c>
      <c r="L246" s="5">
        <f>ROUNDUP(MAX(0,ROUND(J246-G246,10)),0)</f>
        <v>0</v>
      </c>
      <c r="M246" s="5" t="n">
        <v>0</v>
      </c>
      <c r="N246" s="6" t="inlineStr">
        <is>
          <t>ثبت عددی</t>
        </is>
      </c>
      <c r="O246" s="6" t="inlineStr">
        <is>
          <t>عدد(شمارشی)</t>
        </is>
      </c>
      <c r="P246" s="6" t="inlineStr"/>
      <c r="Q246" s="9" t="n"/>
      <c r="R246" s="9" t="n"/>
    </row>
    <row r="247" ht="20" customHeight="1">
      <c r="A247" s="10" t="n">
        <v>1110573</v>
      </c>
      <c r="B247" s="11" t="inlineStr">
        <is>
          <t>Resistor 10K,1%,1/16W</t>
        </is>
      </c>
      <c r="C247" s="12">
        <f>ROUNDUP(MAX(0,ROUND(I247+J247-G247,10)),0)</f>
        <v>0</v>
      </c>
      <c r="D247" s="8" t="n"/>
      <c r="E247" s="11" t="inlineStr">
        <is>
          <t>ندارد</t>
        </is>
      </c>
      <c r="F247" s="11" t="inlineStr">
        <is>
          <t>-</t>
        </is>
      </c>
      <c r="G247" s="10" t="n">
        <v>8126</v>
      </c>
      <c r="H247" s="8" t="n"/>
      <c r="I247" s="10">
        <f>SUMIF('جزئیات BOM'!$G$4:$G$607,A247,'جزئیات BOM'!$S$4:$S$607)</f>
        <v>3500</v>
      </c>
      <c r="J247" s="10">
        <f>SUMIF('جزئیات BOM'!$G$4:$G$607,A247,'جزئیات BOM'!$T$4:$T$607)</f>
        <v>2400</v>
      </c>
      <c r="K247" s="10">
        <f>ROUND(G247-I247,10)</f>
        <v>4626</v>
      </c>
      <c r="L247" s="10">
        <f>ROUNDUP(MAX(0,ROUND(J247-G247,10)),0)</f>
        <v>0</v>
      </c>
      <c r="M247" s="10" t="n">
        <v>0</v>
      </c>
      <c r="N247" s="11" t="inlineStr">
        <is>
          <t>ثبت عددی</t>
        </is>
      </c>
      <c r="O247" s="11" t="inlineStr">
        <is>
          <t>عدد(شمارشی)</t>
        </is>
      </c>
      <c r="P247" s="11" t="inlineStr"/>
      <c r="Q247" s="13" t="n"/>
      <c r="R247" s="13" t="n"/>
    </row>
    <row r="248" ht="20" customHeight="1">
      <c r="A248" s="5" t="n">
        <v>1110575</v>
      </c>
      <c r="B248" s="6" t="inlineStr">
        <is>
          <t>Resistor 22K,1%,1/16W</t>
        </is>
      </c>
      <c r="C248" s="7">
        <f>ROUNDUP(MAX(0,ROUND(I248+J248-G248,10)),0)</f>
        <v>0</v>
      </c>
      <c r="D248" s="8" t="n"/>
      <c r="E248" s="6" t="inlineStr">
        <is>
          <t>ندارد</t>
        </is>
      </c>
      <c r="F248" s="6" t="inlineStr">
        <is>
          <t>-</t>
        </is>
      </c>
      <c r="G248" s="5" t="n">
        <v>10517</v>
      </c>
      <c r="H248" s="8" t="n"/>
      <c r="I248" s="5">
        <f>SUMIF('جزئیات BOM'!$G$4:$G$607,A248,'جزئیات BOM'!$S$4:$S$607)</f>
        <v>5250</v>
      </c>
      <c r="J248" s="5">
        <f>SUMIF('جزئیات BOM'!$G$4:$G$607,A248,'جزئیات BOM'!$T$4:$T$607)</f>
        <v>3600</v>
      </c>
      <c r="K248" s="5">
        <f>ROUND(G248-I248,10)</f>
        <v>5267</v>
      </c>
      <c r="L248" s="5">
        <f>ROUNDUP(MAX(0,ROUND(J248-G248,10)),0)</f>
        <v>0</v>
      </c>
      <c r="M248" s="5" t="n">
        <v>0</v>
      </c>
      <c r="N248" s="6" t="inlineStr">
        <is>
          <t>ثبت عددی</t>
        </is>
      </c>
      <c r="O248" s="6" t="inlineStr">
        <is>
          <t>عدد(شمارشی)</t>
        </is>
      </c>
      <c r="P248" s="6" t="inlineStr"/>
      <c r="Q248" s="9" t="n"/>
      <c r="R248" s="9" t="n"/>
    </row>
    <row r="249" ht="20" customHeight="1">
      <c r="A249" s="10" t="n">
        <v>1110577</v>
      </c>
      <c r="B249" s="11" t="inlineStr">
        <is>
          <t>Resistor 27K,1%,1/16W</t>
        </is>
      </c>
      <c r="C249" s="12">
        <f>ROUNDUP(MAX(0,ROUND(I249+J249-G249,10)),0)</f>
        <v>0</v>
      </c>
      <c r="D249" s="8" t="n"/>
      <c r="E249" s="11" t="inlineStr">
        <is>
          <t>ندارد</t>
        </is>
      </c>
      <c r="F249" s="11" t="inlineStr">
        <is>
          <t>-</t>
        </is>
      </c>
      <c r="G249" s="10" t="n">
        <v>4225</v>
      </c>
      <c r="H249" s="8" t="n"/>
      <c r="I249" s="10">
        <f>SUMIF('جزئیات BOM'!$G$4:$G$607,A249,'جزئیات BOM'!$S$4:$S$607)</f>
        <v>1400</v>
      </c>
      <c r="J249" s="10">
        <f>SUMIF('جزئیات BOM'!$G$4:$G$607,A249,'جزئیات BOM'!$T$4:$T$607)</f>
        <v>1200</v>
      </c>
      <c r="K249" s="10">
        <f>ROUND(G249-I249,10)</f>
        <v>2825</v>
      </c>
      <c r="L249" s="10">
        <f>ROUNDUP(MAX(0,ROUND(J249-G249,10)),0)</f>
        <v>0</v>
      </c>
      <c r="M249" s="10" t="n">
        <v>0</v>
      </c>
      <c r="N249" s="11" t="inlineStr">
        <is>
          <t>ثبت عددی</t>
        </is>
      </c>
      <c r="O249" s="11" t="inlineStr">
        <is>
          <t>عدد(شمارشی)</t>
        </is>
      </c>
      <c r="P249" s="11" t="inlineStr"/>
      <c r="Q249" s="13" t="n"/>
      <c r="R249" s="13" t="n"/>
    </row>
    <row r="250" ht="20" customHeight="1">
      <c r="A250" s="5" t="n">
        <v>1110580</v>
      </c>
      <c r="B250" s="6" t="inlineStr">
        <is>
          <t>Resistor 4.7K,1%,1/16W</t>
        </is>
      </c>
      <c r="C250" s="7">
        <f>ROUNDUP(MAX(0,ROUND(I250+J250-G250,10)),0)</f>
        <v>0</v>
      </c>
      <c r="D250" s="8" t="n"/>
      <c r="E250" s="6" t="inlineStr">
        <is>
          <t>ندارد</t>
        </is>
      </c>
      <c r="F250" s="6" t="inlineStr">
        <is>
          <t>-</t>
        </is>
      </c>
      <c r="G250" s="5" t="n">
        <v>5027</v>
      </c>
      <c r="H250" s="8" t="n"/>
      <c r="I250" s="5">
        <f>SUMIF('جزئیات BOM'!$G$4:$G$607,A250,'جزئیات BOM'!$S$4:$S$607)</f>
        <v>1750</v>
      </c>
      <c r="J250" s="5">
        <f>SUMIF('جزئیات BOM'!$G$4:$G$607,A250,'جزئیات BOM'!$T$4:$T$607)</f>
        <v>1200</v>
      </c>
      <c r="K250" s="5">
        <f>ROUND(G250-I250,10)</f>
        <v>3277</v>
      </c>
      <c r="L250" s="5">
        <f>ROUNDUP(MAX(0,ROUND(J250-G250,10)),0)</f>
        <v>0</v>
      </c>
      <c r="M250" s="5" t="n">
        <v>0</v>
      </c>
      <c r="N250" s="6" t="inlineStr">
        <is>
          <t>ثبت عددی</t>
        </is>
      </c>
      <c r="O250" s="6" t="inlineStr">
        <is>
          <t>عدد(شمارشی)</t>
        </is>
      </c>
      <c r="P250" s="6" t="inlineStr"/>
      <c r="Q250" s="9" t="n"/>
      <c r="R250" s="9" t="n"/>
    </row>
    <row r="251" ht="20" customHeight="1">
      <c r="A251" s="10" t="n">
        <v>1110581</v>
      </c>
      <c r="B251" s="11" t="inlineStr">
        <is>
          <t>Resistor 4.7K,5%,1/16W</t>
        </is>
      </c>
      <c r="C251" s="12">
        <f>ROUNDUP(MAX(0,ROUND(I251+J251-G251,10)),0)</f>
        <v>0</v>
      </c>
      <c r="D251" s="8" t="n"/>
      <c r="E251" s="11" t="inlineStr">
        <is>
          <t>ندارد</t>
        </is>
      </c>
      <c r="F251" s="11" t="inlineStr">
        <is>
          <t>-</t>
        </is>
      </c>
      <c r="G251" s="10" t="n">
        <v>70018</v>
      </c>
      <c r="H251" s="8" t="n"/>
      <c r="I251" s="10">
        <f>SUMIF('جزئیات BOM'!$G$4:$G$607,A251,'جزئیات BOM'!$S$4:$S$607)</f>
        <v>33600</v>
      </c>
      <c r="J251" s="10">
        <f>SUMIF('جزئیات BOM'!$G$4:$G$607,A251,'جزئیات BOM'!$T$4:$T$607)</f>
        <v>26400</v>
      </c>
      <c r="K251" s="10">
        <f>ROUND(G251-I251,10)</f>
        <v>36418</v>
      </c>
      <c r="L251" s="10">
        <f>ROUNDUP(MAX(0,ROUND(J251-G251,10)),0)</f>
        <v>0</v>
      </c>
      <c r="M251" s="10" t="n">
        <v>0</v>
      </c>
      <c r="N251" s="11" t="inlineStr">
        <is>
          <t>ثبت عددی</t>
        </is>
      </c>
      <c r="O251" s="11" t="inlineStr">
        <is>
          <t>عدد(شمارشی)</t>
        </is>
      </c>
      <c r="P251" s="11" t="inlineStr"/>
      <c r="Q251" s="13" t="n"/>
      <c r="R251" s="13" t="n"/>
    </row>
    <row r="252" ht="20" customHeight="1">
      <c r="A252" s="5" t="n">
        <v>1110582</v>
      </c>
      <c r="B252" s="6" t="inlineStr">
        <is>
          <t>Resistor 470,5%,1/16W</t>
        </is>
      </c>
      <c r="C252" s="7">
        <f>ROUNDUP(MAX(0,ROUND(I252+J252-G252,10)),0)</f>
        <v>0</v>
      </c>
      <c r="D252" s="8" t="n"/>
      <c r="E252" s="6" t="inlineStr">
        <is>
          <t>ندارد</t>
        </is>
      </c>
      <c r="F252" s="6" t="inlineStr">
        <is>
          <t>-</t>
        </is>
      </c>
      <c r="G252" s="5" t="n">
        <v>29951</v>
      </c>
      <c r="H252" s="8" t="n"/>
      <c r="I252" s="5">
        <f>SUMIF('جزئیات BOM'!$G$4:$G$607,A252,'جزئیات BOM'!$S$4:$S$607)</f>
        <v>15400</v>
      </c>
      <c r="J252" s="5">
        <f>SUMIF('جزئیات BOM'!$G$4:$G$607,A252,'جزئیات BOM'!$T$4:$T$607)</f>
        <v>10800</v>
      </c>
      <c r="K252" s="5">
        <f>ROUND(G252-I252,10)</f>
        <v>14551</v>
      </c>
      <c r="L252" s="5">
        <f>ROUNDUP(MAX(0,ROUND(J252-G252,10)),0)</f>
        <v>0</v>
      </c>
      <c r="M252" s="5" t="n">
        <v>0</v>
      </c>
      <c r="N252" s="6" t="inlineStr">
        <is>
          <t>ثبت عددی</t>
        </is>
      </c>
      <c r="O252" s="6" t="inlineStr">
        <is>
          <t>عدد(شمارشی)</t>
        </is>
      </c>
      <c r="P252" s="6" t="inlineStr"/>
      <c r="Q252" s="9" t="n"/>
      <c r="R252" s="9" t="n"/>
    </row>
    <row r="253" ht="20" customHeight="1">
      <c r="A253" s="10" t="n">
        <v>1110583</v>
      </c>
      <c r="B253" s="11" t="inlineStr">
        <is>
          <t>Resistor 47K,1%,1/16W</t>
        </is>
      </c>
      <c r="C253" s="12">
        <f>ROUNDUP(MAX(0,ROUND(I253+J253-G253,10)),0)</f>
        <v>0</v>
      </c>
      <c r="D253" s="8" t="n"/>
      <c r="E253" s="11" t="inlineStr">
        <is>
          <t>ندارد</t>
        </is>
      </c>
      <c r="F253" s="11" t="inlineStr">
        <is>
          <t>-</t>
        </is>
      </c>
      <c r="G253" s="10" t="n">
        <v>5149</v>
      </c>
      <c r="H253" s="8" t="n"/>
      <c r="I253" s="10">
        <f>SUMIF('جزئیات BOM'!$G$4:$G$607,A253,'جزئیات BOM'!$S$4:$S$607)</f>
        <v>1750</v>
      </c>
      <c r="J253" s="10">
        <f>SUMIF('جزئیات BOM'!$G$4:$G$607,A253,'جزئیات BOM'!$T$4:$T$607)</f>
        <v>1200</v>
      </c>
      <c r="K253" s="10">
        <f>ROUND(G253-I253,10)</f>
        <v>3399</v>
      </c>
      <c r="L253" s="10">
        <f>ROUNDUP(MAX(0,ROUND(J253-G253,10)),0)</f>
        <v>0</v>
      </c>
      <c r="M253" s="10" t="n">
        <v>0</v>
      </c>
      <c r="N253" s="11" t="inlineStr">
        <is>
          <t>ثبت عددی</t>
        </is>
      </c>
      <c r="O253" s="11" t="inlineStr">
        <is>
          <t>عدد(شمارشی)</t>
        </is>
      </c>
      <c r="P253" s="11" t="inlineStr"/>
      <c r="Q253" s="13" t="n"/>
      <c r="R253" s="13" t="n"/>
    </row>
    <row r="254" ht="20" customHeight="1">
      <c r="A254" s="5" t="n">
        <v>1110584</v>
      </c>
      <c r="B254" s="6" t="inlineStr">
        <is>
          <t>Resistor 47K,5%,1/16W</t>
        </is>
      </c>
      <c r="C254" s="7">
        <f>ROUNDUP(MAX(0,ROUND(I254+J254-G254,10)),0)</f>
        <v>0</v>
      </c>
      <c r="D254" s="8" t="n"/>
      <c r="E254" s="6" t="inlineStr">
        <is>
          <t>ندارد</t>
        </is>
      </c>
      <c r="F254" s="6" t="inlineStr">
        <is>
          <t>-</t>
        </is>
      </c>
      <c r="G254" s="5" t="n">
        <v>33804</v>
      </c>
      <c r="H254" s="8" t="n"/>
      <c r="I254" s="5">
        <f>SUMIF('جزئیات BOM'!$G$4:$G$607,A254,'جزئیات BOM'!$S$4:$S$607)</f>
        <v>11550</v>
      </c>
      <c r="J254" s="5">
        <f>SUMIF('جزئیات BOM'!$G$4:$G$607,A254,'جزئیات BOM'!$T$4:$T$607)</f>
        <v>9600</v>
      </c>
      <c r="K254" s="5">
        <f>ROUND(G254-I254,10)</f>
        <v>22254</v>
      </c>
      <c r="L254" s="5">
        <f>ROUNDUP(MAX(0,ROUND(J254-G254,10)),0)</f>
        <v>0</v>
      </c>
      <c r="M254" s="5" t="n">
        <v>0</v>
      </c>
      <c r="N254" s="6" t="inlineStr">
        <is>
          <t>ثبت عددی</t>
        </is>
      </c>
      <c r="O254" s="6" t="inlineStr">
        <is>
          <t>عدد(شمارشی)</t>
        </is>
      </c>
      <c r="P254" s="6" t="inlineStr"/>
      <c r="Q254" s="9" t="n"/>
      <c r="R254" s="9" t="n"/>
    </row>
    <row r="255" ht="20" customHeight="1">
      <c r="A255" s="10" t="n">
        <v>1110585</v>
      </c>
      <c r="B255" s="11" t="inlineStr">
        <is>
          <t>Resistor 100K,1%,1/16W</t>
        </is>
      </c>
      <c r="C255" s="12">
        <f>ROUNDUP(MAX(0,ROUND(I255+J255-G255,10)),0)</f>
        <v>0</v>
      </c>
      <c r="D255" s="8" t="n"/>
      <c r="E255" s="11" t="inlineStr">
        <is>
          <t>ندارد</t>
        </is>
      </c>
      <c r="F255" s="11" t="inlineStr">
        <is>
          <t>-</t>
        </is>
      </c>
      <c r="G255" s="10" t="n">
        <v>4927</v>
      </c>
      <c r="H255" s="8" t="n"/>
      <c r="I255" s="10">
        <f>SUMIF('جزئیات BOM'!$G$4:$G$607,A255,'جزئیات BOM'!$S$4:$S$607)</f>
        <v>1400</v>
      </c>
      <c r="J255" s="10">
        <f>SUMIF('جزئیات BOM'!$G$4:$G$607,A255,'جزئیات BOM'!$T$4:$T$607)</f>
        <v>1200</v>
      </c>
      <c r="K255" s="10">
        <f>ROUND(G255-I255,10)</f>
        <v>3527</v>
      </c>
      <c r="L255" s="10">
        <f>ROUNDUP(MAX(0,ROUND(J255-G255,10)),0)</f>
        <v>0</v>
      </c>
      <c r="M255" s="10" t="n">
        <v>0</v>
      </c>
      <c r="N255" s="11" t="inlineStr">
        <is>
          <t>ثبت عددی</t>
        </is>
      </c>
      <c r="O255" s="11" t="inlineStr">
        <is>
          <t>عدد(شمارشی)</t>
        </is>
      </c>
      <c r="P255" s="11" t="inlineStr"/>
      <c r="Q255" s="13" t="n"/>
      <c r="R255" s="13" t="n"/>
    </row>
    <row r="256" ht="20" customHeight="1">
      <c r="A256" s="5" t="n">
        <v>1110615</v>
      </c>
      <c r="B256" s="6" t="inlineStr">
        <is>
          <t>Transistor BCW68G</t>
        </is>
      </c>
      <c r="C256" s="7">
        <f>ROUNDUP(MAX(0,ROUND(I256+J256-G256,10)),0)</f>
        <v>0</v>
      </c>
      <c r="D256" s="8" t="n"/>
      <c r="E256" s="6" t="inlineStr">
        <is>
          <t>دارد</t>
        </is>
      </c>
      <c r="F256" s="6" t="inlineStr">
        <is>
          <t>2</t>
        </is>
      </c>
      <c r="G256" s="5" t="n">
        <v>4984</v>
      </c>
      <c r="H256" s="8" t="n"/>
      <c r="I256" s="5">
        <f>SUMIF('جزئیات BOM'!$G$4:$G$607,A256,'جزئیات BOM'!$S$4:$S$607)</f>
        <v>0</v>
      </c>
      <c r="J256" s="5">
        <f>SUMIF('جزئیات BOM'!$G$4:$G$607,A256,'جزئیات BOM'!$T$4:$T$607)</f>
        <v>0</v>
      </c>
      <c r="K256" s="5">
        <f>ROUND(G256-I256,10)</f>
        <v>4984</v>
      </c>
      <c r="L256" s="5">
        <f>ROUNDUP(MAX(0,ROUND(J256-G256,10)),0)</f>
        <v>0</v>
      </c>
      <c r="M256" s="5" t="n">
        <v>0</v>
      </c>
      <c r="N256" s="6" t="inlineStr">
        <is>
          <t>ثبت عددی</t>
        </is>
      </c>
      <c r="O256" s="6" t="inlineStr">
        <is>
          <t>عدد</t>
        </is>
      </c>
      <c r="P256" s="6" t="inlineStr">
        <is>
          <t>سهم جایگزین طبق BOM؛ نیازمند تأیید | ۱۰۰٪ تکراری: اولویت اول</t>
        </is>
      </c>
      <c r="Q256" s="9" t="n"/>
      <c r="R256" s="9" t="n"/>
    </row>
    <row r="257" ht="20" customHeight="1">
      <c r="A257" s="10" t="n">
        <v>1110621</v>
      </c>
      <c r="B257" s="11" t="inlineStr">
        <is>
          <t>Transistor;DTC 143EK-T-146-CP.ROHM</t>
        </is>
      </c>
      <c r="C257" s="12">
        <f>ROUNDUP(MAX(0,ROUND(I257+J257-G257,10)),0)</f>
        <v>0</v>
      </c>
      <c r="D257" s="8" t="n"/>
      <c r="E257" s="11" t="inlineStr">
        <is>
          <t>ندارد</t>
        </is>
      </c>
      <c r="F257" s="11" t="inlineStr">
        <is>
          <t>-</t>
        </is>
      </c>
      <c r="G257" s="10" t="n">
        <v>10040</v>
      </c>
      <c r="H257" s="8" t="n"/>
      <c r="I257" s="10">
        <f>SUMIF('جزئیات BOM'!$G$4:$G$607,A257,'جزئیات BOM'!$S$4:$S$607)</f>
        <v>2300</v>
      </c>
      <c r="J257" s="10">
        <f>SUMIF('جزئیات BOM'!$G$4:$G$607,A257,'جزئیات BOM'!$T$4:$T$607)</f>
        <v>4000</v>
      </c>
      <c r="K257" s="10">
        <f>ROUND(G257-I257,10)</f>
        <v>7740</v>
      </c>
      <c r="L257" s="10">
        <f>ROUNDUP(MAX(0,ROUND(J257-G257,10)),0)</f>
        <v>0</v>
      </c>
      <c r="M257" s="10" t="n">
        <v>0</v>
      </c>
      <c r="N257" s="11" t="inlineStr">
        <is>
          <t>ثبت عددی</t>
        </is>
      </c>
      <c r="O257" s="11" t="inlineStr">
        <is>
          <t>عدد</t>
        </is>
      </c>
      <c r="P257" s="11" t="inlineStr"/>
      <c r="Q257" s="13" t="n"/>
      <c r="R257" s="13" t="n"/>
    </row>
    <row r="258" ht="20" customHeight="1">
      <c r="A258" s="5" t="n">
        <v>1110623</v>
      </c>
      <c r="B258" s="6" t="inlineStr">
        <is>
          <t>SAW FILTER 433.92MHz</t>
        </is>
      </c>
      <c r="C258" s="7">
        <f>ROUNDUP(MAX(0,ROUND(I258+J258-G258,10)),0)</f>
        <v>0</v>
      </c>
      <c r="D258" s="8" t="n"/>
      <c r="E258" s="6" t="inlineStr">
        <is>
          <t>ندارد</t>
        </is>
      </c>
      <c r="F258" s="6" t="inlineStr">
        <is>
          <t>-</t>
        </is>
      </c>
      <c r="G258" s="5" t="n">
        <v>8880</v>
      </c>
      <c r="H258" s="8" t="n"/>
      <c r="I258" s="5">
        <f>SUMIF('جزئیات BOM'!$G$4:$G$607,A258,'جزئیات BOM'!$S$4:$S$607)</f>
        <v>2300</v>
      </c>
      <c r="J258" s="5">
        <f>SUMIF('جزئیات BOM'!$G$4:$G$607,A258,'جزئیات BOM'!$T$4:$T$607)</f>
        <v>4000</v>
      </c>
      <c r="K258" s="5">
        <f>ROUND(G258-I258,10)</f>
        <v>6580</v>
      </c>
      <c r="L258" s="5">
        <f>ROUNDUP(MAX(0,ROUND(J258-G258,10)),0)</f>
        <v>0</v>
      </c>
      <c r="M258" s="5" t="n">
        <v>0</v>
      </c>
      <c r="N258" s="6" t="inlineStr">
        <is>
          <t>ثبت عددی</t>
        </is>
      </c>
      <c r="O258" s="6" t="inlineStr">
        <is>
          <t>عدد</t>
        </is>
      </c>
      <c r="P258" s="6" t="inlineStr"/>
      <c r="Q258" s="9" t="n"/>
      <c r="R258" s="9" t="n"/>
    </row>
    <row r="259" ht="20" customHeight="1">
      <c r="A259" s="10" t="n">
        <v>1110624</v>
      </c>
      <c r="B259" s="11" t="inlineStr">
        <is>
          <t>Transistor 2SC3838K</t>
        </is>
      </c>
      <c r="C259" s="12">
        <f>ROUNDUP(MAX(0,ROUND(I259+J259-G259,10)),0)</f>
        <v>0</v>
      </c>
      <c r="D259" s="8" t="n"/>
      <c r="E259" s="11" t="inlineStr">
        <is>
          <t>ندارد</t>
        </is>
      </c>
      <c r="F259" s="11" t="inlineStr">
        <is>
          <t>-</t>
        </is>
      </c>
      <c r="G259" s="10" t="n">
        <v>10040</v>
      </c>
      <c r="H259" s="8" t="n"/>
      <c r="I259" s="10">
        <f>SUMIF('جزئیات BOM'!$G$4:$G$607,A259,'جزئیات BOM'!$S$4:$S$607)</f>
        <v>2300</v>
      </c>
      <c r="J259" s="10">
        <f>SUMIF('جزئیات BOM'!$G$4:$G$607,A259,'جزئیات BOM'!$T$4:$T$607)</f>
        <v>4000</v>
      </c>
      <c r="K259" s="10">
        <f>ROUND(G259-I259,10)</f>
        <v>7740</v>
      </c>
      <c r="L259" s="10">
        <f>ROUNDUP(MAX(0,ROUND(J259-G259,10)),0)</f>
        <v>0</v>
      </c>
      <c r="M259" s="10" t="n">
        <v>0</v>
      </c>
      <c r="N259" s="11" t="inlineStr">
        <is>
          <t>ثبت عددی</t>
        </is>
      </c>
      <c r="O259" s="11" t="inlineStr">
        <is>
          <t>عدد</t>
        </is>
      </c>
      <c r="P259" s="11" t="inlineStr"/>
      <c r="Q259" s="13" t="n"/>
      <c r="R259" s="13" t="n"/>
    </row>
    <row r="260" ht="20" customHeight="1">
      <c r="A260" s="5" t="n">
        <v>1110629</v>
      </c>
      <c r="B260" s="6" t="inlineStr">
        <is>
          <t>Transistor DTA 143EK-T-146-CP</t>
        </is>
      </c>
      <c r="C260" s="7">
        <f>ROUNDUP(MAX(0,ROUND(I260+J260-G260,10)),0)</f>
        <v>0</v>
      </c>
      <c r="D260" s="8" t="n"/>
      <c r="E260" s="6" t="inlineStr">
        <is>
          <t>ندارد</t>
        </is>
      </c>
      <c r="F260" s="6" t="inlineStr">
        <is>
          <t>-</t>
        </is>
      </c>
      <c r="G260" s="5" t="n">
        <v>16361</v>
      </c>
      <c r="H260" s="8" t="n"/>
      <c r="I260" s="5">
        <f>SUMIF('جزئیات BOM'!$G$4:$G$607,A260,'جزئیات BOM'!$S$4:$S$607)</f>
        <v>4600</v>
      </c>
      <c r="J260" s="5">
        <f>SUMIF('جزئیات BOM'!$G$4:$G$607,A260,'جزئیات BOM'!$T$4:$T$607)</f>
        <v>8000</v>
      </c>
      <c r="K260" s="5">
        <f>ROUND(G260-I260,10)</f>
        <v>11761</v>
      </c>
      <c r="L260" s="5">
        <f>ROUNDUP(MAX(0,ROUND(J260-G260,10)),0)</f>
        <v>0</v>
      </c>
      <c r="M260" s="5" t="n">
        <v>0</v>
      </c>
      <c r="N260" s="6" t="inlineStr">
        <is>
          <t>ثبت عددی</t>
        </is>
      </c>
      <c r="O260" s="6" t="inlineStr">
        <is>
          <t>عدد</t>
        </is>
      </c>
      <c r="P260" s="6" t="inlineStr"/>
      <c r="Q260" s="9" t="n"/>
      <c r="R260" s="9" t="n"/>
    </row>
    <row r="261" ht="20" customHeight="1">
      <c r="A261" s="10" t="n">
        <v>1110648</v>
      </c>
      <c r="B261" s="11" t="inlineStr">
        <is>
          <t>Mosfet, N-Channel,50A,40V</t>
        </is>
      </c>
      <c r="C261" s="12">
        <f>ROUNDUP(MAX(0,ROUND(I261+J261-G261,10)),0)</f>
        <v>0</v>
      </c>
      <c r="D261" s="8" t="n"/>
      <c r="E261" s="11" t="inlineStr">
        <is>
          <t>دارد</t>
        </is>
      </c>
      <c r="F261" s="11" t="inlineStr">
        <is>
          <t>1</t>
        </is>
      </c>
      <c r="G261" s="10" t="n">
        <v>4316</v>
      </c>
      <c r="H261" s="8" t="n"/>
      <c r="I261" s="10">
        <f>SUMIF('جزئیات BOM'!$G$4:$G$607,A261,'جزئیات BOM'!$S$4:$S$607)</f>
        <v>500</v>
      </c>
      <c r="J261" s="10">
        <f>SUMIF('جزئیات BOM'!$G$4:$G$607,A261,'جزئیات BOM'!$T$4:$T$607)</f>
        <v>0</v>
      </c>
      <c r="K261" s="10">
        <f>ROUND(G261-I261,10)</f>
        <v>3816</v>
      </c>
      <c r="L261" s="10">
        <f>ROUNDUP(MAX(0,ROUND(J261-G261,10)),0)</f>
        <v>0</v>
      </c>
      <c r="M261" s="10" t="n">
        <v>0</v>
      </c>
      <c r="N261" s="11" t="inlineStr">
        <is>
          <t>ثبت عددی</t>
        </is>
      </c>
      <c r="O261" s="11" t="inlineStr">
        <is>
          <t>عدد</t>
        </is>
      </c>
      <c r="P261" s="11" t="inlineStr">
        <is>
          <t>سهم جایگزین طبق BOM؛ نیازمند تأیید</t>
        </is>
      </c>
      <c r="Q261" s="13" t="n"/>
      <c r="R261" s="13" t="n"/>
    </row>
    <row r="262" ht="20" customHeight="1">
      <c r="A262" s="5" t="n">
        <v>1110652</v>
      </c>
      <c r="B262" s="6" t="inlineStr">
        <is>
          <t>Transistor NCE07 IGBT 7A 600V</t>
        </is>
      </c>
      <c r="C262" s="7">
        <f>ROUNDUP(MAX(0,ROUND(I262+J262-G262,10)),0)</f>
        <v>0</v>
      </c>
      <c r="D262" s="8" t="n"/>
      <c r="E262" s="6" t="inlineStr">
        <is>
          <t>ندارد</t>
        </is>
      </c>
      <c r="F262" s="6" t="inlineStr">
        <is>
          <t>-</t>
        </is>
      </c>
      <c r="G262" s="5" t="n">
        <v>20453</v>
      </c>
      <c r="H262" s="8" t="n"/>
      <c r="I262" s="5">
        <f>SUMIF('جزئیات BOM'!$G$4:$G$607,A262,'جزئیات BOM'!$S$4:$S$607)</f>
        <v>9000</v>
      </c>
      <c r="J262" s="5">
        <f>SUMIF('جزئیات BOM'!$G$4:$G$607,A262,'جزئیات BOM'!$T$4:$T$607)</f>
        <v>0</v>
      </c>
      <c r="K262" s="5">
        <f>ROUND(G262-I262,10)</f>
        <v>11453</v>
      </c>
      <c r="L262" s="5">
        <f>ROUNDUP(MAX(0,ROUND(J262-G262,10)),0)</f>
        <v>0</v>
      </c>
      <c r="M262" s="5" t="n">
        <v>0</v>
      </c>
      <c r="N262" s="6" t="inlineStr">
        <is>
          <t>ثبت عددی</t>
        </is>
      </c>
      <c r="O262" s="6" t="inlineStr">
        <is>
          <t>عدد(شمارشی)</t>
        </is>
      </c>
      <c r="P262" s="6" t="inlineStr"/>
      <c r="Q262" s="9" t="n"/>
      <c r="R262" s="9" t="n"/>
    </row>
    <row r="263" ht="20" customHeight="1">
      <c r="A263" s="10" t="n">
        <v>1110653</v>
      </c>
      <c r="B263" s="11" t="inlineStr">
        <is>
          <t>TRANSISTOR BCP52-16</t>
        </is>
      </c>
      <c r="C263" s="12">
        <f>ROUNDUP(MAX(0,ROUND(I263+J263-G263,10)),0)</f>
        <v>0</v>
      </c>
      <c r="D263" s="8" t="n"/>
      <c r="E263" s="11" t="inlineStr">
        <is>
          <t>ندارد</t>
        </is>
      </c>
      <c r="F263" s="11" t="inlineStr">
        <is>
          <t>-</t>
        </is>
      </c>
      <c r="G263" s="10" t="n">
        <v>3769</v>
      </c>
      <c r="H263" s="8" t="n"/>
      <c r="I263" s="10">
        <f>SUMIF('جزئیات BOM'!$G$4:$G$607,A263,'جزئیات BOM'!$S$4:$S$607)</f>
        <v>1400</v>
      </c>
      <c r="J263" s="10">
        <f>SUMIF('جزئیات BOM'!$G$4:$G$607,A263,'جزئیات BOM'!$T$4:$T$607)</f>
        <v>1200</v>
      </c>
      <c r="K263" s="10">
        <f>ROUND(G263-I263,10)</f>
        <v>2369</v>
      </c>
      <c r="L263" s="10">
        <f>ROUNDUP(MAX(0,ROUND(J263-G263,10)),0)</f>
        <v>0</v>
      </c>
      <c r="M263" s="10" t="n">
        <v>0</v>
      </c>
      <c r="N263" s="11" t="inlineStr">
        <is>
          <t>ثبت عددی</t>
        </is>
      </c>
      <c r="O263" s="11" t="inlineStr">
        <is>
          <t>عدد(شمارشی)</t>
        </is>
      </c>
      <c r="P263" s="11" t="inlineStr"/>
      <c r="Q263" s="13" t="n"/>
      <c r="R263" s="13" t="n"/>
    </row>
    <row r="264" ht="20" customHeight="1">
      <c r="A264" s="5" t="n">
        <v>1110690</v>
      </c>
      <c r="B264" s="6" t="inlineStr">
        <is>
          <t>Resistor 60.4 ,1%, 1/4W</t>
        </is>
      </c>
      <c r="C264" s="7">
        <f>ROUNDUP(MAX(0,ROUND(I264+J264-G264,10)),0)</f>
        <v>0</v>
      </c>
      <c r="D264" s="8" t="n"/>
      <c r="E264" s="6" t="inlineStr">
        <is>
          <t>ندارد</t>
        </is>
      </c>
      <c r="F264" s="6" t="inlineStr">
        <is>
          <t>-</t>
        </is>
      </c>
      <c r="G264" s="5" t="n">
        <v>15200</v>
      </c>
      <c r="H264" s="8" t="n"/>
      <c r="I264" s="5">
        <f>SUMIF('جزئیات BOM'!$G$4:$G$607,A264,'جزئیات BOM'!$S$4:$S$607)</f>
        <v>2800</v>
      </c>
      <c r="J264" s="5">
        <f>SUMIF('جزئیات BOM'!$G$4:$G$607,A264,'جزئیات BOM'!$T$4:$T$607)</f>
        <v>2400</v>
      </c>
      <c r="K264" s="5">
        <f>ROUND(G264-I264,10)</f>
        <v>12400</v>
      </c>
      <c r="L264" s="5">
        <f>ROUNDUP(MAX(0,ROUND(J264-G264,10)),0)</f>
        <v>0</v>
      </c>
      <c r="M264" s="5" t="n">
        <v>0</v>
      </c>
      <c r="N264" s="6" t="inlineStr">
        <is>
          <t>ثبت عددی</t>
        </is>
      </c>
      <c r="O264" s="6" t="inlineStr">
        <is>
          <t>عدد</t>
        </is>
      </c>
      <c r="P264" s="6" t="inlineStr"/>
      <c r="Q264" s="9" t="n"/>
      <c r="R264" s="9" t="n"/>
    </row>
    <row r="265" ht="20" customHeight="1">
      <c r="A265" s="10" t="n">
        <v>1110700</v>
      </c>
      <c r="B265" s="11" t="inlineStr">
        <is>
          <t>Resistor 100K,5%,1/16W</t>
        </is>
      </c>
      <c r="C265" s="12">
        <f>ROUNDUP(MAX(0,ROUND(I265+J265-G265,10)),0)</f>
        <v>0</v>
      </c>
      <c r="D265" s="8" t="n"/>
      <c r="E265" s="11" t="inlineStr">
        <is>
          <t>دارد</t>
        </is>
      </c>
      <c r="F265" s="11" t="inlineStr">
        <is>
          <t>1</t>
        </is>
      </c>
      <c r="G265" s="10" t="n">
        <v>7566</v>
      </c>
      <c r="H265" s="8" t="n"/>
      <c r="I265" s="10">
        <f>SUMIF('جزئیات BOM'!$G$4:$G$607,A265,'جزئیات BOM'!$S$4:$S$607)</f>
        <v>1575</v>
      </c>
      <c r="J265" s="10">
        <f>SUMIF('جزئیات BOM'!$G$4:$G$607,A265,'جزئیات BOM'!$T$4:$T$607)</f>
        <v>1200</v>
      </c>
      <c r="K265" s="10">
        <f>ROUND(G265-I265,10)</f>
        <v>5991</v>
      </c>
      <c r="L265" s="10">
        <f>ROUNDUP(MAX(0,ROUND(J265-G265,10)),0)</f>
        <v>0</v>
      </c>
      <c r="M265" s="10" t="n">
        <v>0</v>
      </c>
      <c r="N265" s="11" t="inlineStr">
        <is>
          <t>ثبت عددی</t>
        </is>
      </c>
      <c r="O265" s="11" t="inlineStr">
        <is>
          <t>عدد</t>
        </is>
      </c>
      <c r="P265" s="11" t="inlineStr">
        <is>
          <t>سهم جایگزین طبق BOM؛ نیازمند تأیید</t>
        </is>
      </c>
      <c r="Q265" s="13" t="n"/>
      <c r="R265" s="13" t="n"/>
    </row>
    <row r="266" ht="20" customHeight="1">
      <c r="A266" s="5" t="n">
        <v>1110703</v>
      </c>
      <c r="B266" s="6" t="inlineStr">
        <is>
          <t>Resistor 10K,5%,1/10W(3008146</t>
        </is>
      </c>
      <c r="C266" s="7">
        <f>ROUNDUP(MAX(0,ROUND(I266+J266-G266,10)),0)</f>
        <v>0</v>
      </c>
      <c r="D266" s="8" t="n"/>
      <c r="E266" s="6" t="inlineStr">
        <is>
          <t>ندارد</t>
        </is>
      </c>
      <c r="F266" s="6" t="inlineStr">
        <is>
          <t>-</t>
        </is>
      </c>
      <c r="G266" s="5" t="n">
        <v>90132</v>
      </c>
      <c r="H266" s="8" t="n"/>
      <c r="I266" s="5">
        <f>SUMIF('جزئیات BOM'!$G$4:$G$607,A266,'جزئیات BOM'!$S$4:$S$607)</f>
        <v>32400</v>
      </c>
      <c r="J266" s="5">
        <f>SUMIF('جزئیات BOM'!$G$4:$G$607,A266,'جزئیات BOM'!$T$4:$T$607)</f>
        <v>25600</v>
      </c>
      <c r="K266" s="5">
        <f>ROUND(G266-I266,10)</f>
        <v>57732</v>
      </c>
      <c r="L266" s="5">
        <f>ROUNDUP(MAX(0,ROUND(J266-G266,10)),0)</f>
        <v>0</v>
      </c>
      <c r="M266" s="5" t="n">
        <v>0</v>
      </c>
      <c r="N266" s="6" t="inlineStr">
        <is>
          <t>ثبت عددی</t>
        </is>
      </c>
      <c r="O266" s="6" t="inlineStr">
        <is>
          <t>عدد</t>
        </is>
      </c>
      <c r="P266" s="6" t="inlineStr"/>
      <c r="Q266" s="9" t="n"/>
      <c r="R266" s="9" t="n"/>
    </row>
    <row r="267" ht="20" customHeight="1">
      <c r="A267" s="10" t="n">
        <v>1110704</v>
      </c>
      <c r="B267" s="11" t="inlineStr">
        <is>
          <t>Resistor 120K,5%,1/10W</t>
        </is>
      </c>
      <c r="C267" s="12">
        <f>ROUNDUP(MAX(0,ROUND(I267+J267-G267,10)),0)</f>
        <v>0</v>
      </c>
      <c r="D267" s="8" t="n"/>
      <c r="E267" s="11" t="inlineStr">
        <is>
          <t>ندارد</t>
        </is>
      </c>
      <c r="F267" s="11" t="inlineStr">
        <is>
          <t>-</t>
        </is>
      </c>
      <c r="G267" s="10" t="n">
        <v>10666</v>
      </c>
      <c r="H267" s="8" t="n"/>
      <c r="I267" s="10">
        <f>SUMIF('جزئیات BOM'!$G$4:$G$607,A267,'جزئیات BOM'!$S$4:$S$607)</f>
        <v>2300</v>
      </c>
      <c r="J267" s="10">
        <f>SUMIF('جزئیات BOM'!$G$4:$G$607,A267,'جزئیات BOM'!$T$4:$T$607)</f>
        <v>4000</v>
      </c>
      <c r="K267" s="10">
        <f>ROUND(G267-I267,10)</f>
        <v>8366</v>
      </c>
      <c r="L267" s="10">
        <f>ROUNDUP(MAX(0,ROUND(J267-G267,10)),0)</f>
        <v>0</v>
      </c>
      <c r="M267" s="10" t="n">
        <v>0</v>
      </c>
      <c r="N267" s="11" t="inlineStr">
        <is>
          <t>ثبت عددی</t>
        </is>
      </c>
      <c r="O267" s="11" t="inlineStr">
        <is>
          <t>عدد</t>
        </is>
      </c>
      <c r="P267" s="11" t="inlineStr"/>
      <c r="Q267" s="13" t="n"/>
      <c r="R267" s="13" t="n"/>
    </row>
    <row r="268" ht="20" customHeight="1">
      <c r="A268" s="5" t="n">
        <v>1110705</v>
      </c>
      <c r="B268" s="6" t="inlineStr">
        <is>
          <t>Resistor 15K,1%,1/10W (3001795</t>
        </is>
      </c>
      <c r="C268" s="7">
        <f>ROUNDUP(MAX(0,ROUND(I268+J268-G268,10)),0)</f>
        <v>0</v>
      </c>
      <c r="D268" s="8" t="n"/>
      <c r="E268" s="6" t="inlineStr">
        <is>
          <t>ندارد</t>
        </is>
      </c>
      <c r="F268" s="6" t="inlineStr">
        <is>
          <t>-</t>
        </is>
      </c>
      <c r="G268" s="5" t="n">
        <v>18540</v>
      </c>
      <c r="H268" s="8" t="n"/>
      <c r="I268" s="5">
        <f>SUMIF('جزئیات BOM'!$G$4:$G$607,A268,'جزئیات BOM'!$S$4:$S$607)</f>
        <v>7500</v>
      </c>
      <c r="J268" s="5">
        <f>SUMIF('جزئیات BOM'!$G$4:$G$607,A268,'جزئیات BOM'!$T$4:$T$607)</f>
        <v>0</v>
      </c>
      <c r="K268" s="5">
        <f>ROUND(G268-I268,10)</f>
        <v>11040</v>
      </c>
      <c r="L268" s="5">
        <f>ROUNDUP(MAX(0,ROUND(J268-G268,10)),0)</f>
        <v>0</v>
      </c>
      <c r="M268" s="5" t="n">
        <v>0</v>
      </c>
      <c r="N268" s="6" t="inlineStr">
        <is>
          <t>ثبت عددی</t>
        </is>
      </c>
      <c r="O268" s="6" t="inlineStr">
        <is>
          <t>عدد</t>
        </is>
      </c>
      <c r="P268" s="6" t="inlineStr"/>
      <c r="Q268" s="9" t="n"/>
      <c r="R268" s="9" t="n"/>
    </row>
    <row r="269" ht="20" customHeight="1">
      <c r="A269" s="10" t="n">
        <v>1110706</v>
      </c>
      <c r="B269" s="11" t="inlineStr">
        <is>
          <t>resistor 1K,1%,1/10W</t>
        </is>
      </c>
      <c r="C269" s="12">
        <f>ROUNDUP(MAX(0,ROUND(I269+J269-G269,10)),0)</f>
        <v>0</v>
      </c>
      <c r="D269" s="8" t="n"/>
      <c r="E269" s="11" t="inlineStr">
        <is>
          <t>دارد</t>
        </is>
      </c>
      <c r="F269" s="11" t="inlineStr">
        <is>
          <t>2</t>
        </is>
      </c>
      <c r="G269" s="10" t="n">
        <v>36827</v>
      </c>
      <c r="H269" s="8" t="n"/>
      <c r="I269" s="10">
        <f>SUMIF('جزئیات BOM'!$G$4:$G$607,A269,'جزئیات BOM'!$S$4:$S$607)</f>
        <v>24440</v>
      </c>
      <c r="J269" s="10">
        <f>SUMIF('جزئیات BOM'!$G$4:$G$607,A269,'جزئیات BOM'!$T$4:$T$607)</f>
        <v>7280</v>
      </c>
      <c r="K269" s="10">
        <f>ROUND(G269-I269,10)</f>
        <v>12387</v>
      </c>
      <c r="L269" s="10">
        <f>ROUNDUP(MAX(0,ROUND(J269-G269,10)),0)</f>
        <v>0</v>
      </c>
      <c r="M269" s="10" t="n">
        <v>0</v>
      </c>
      <c r="N269" s="11" t="inlineStr">
        <is>
          <t>ثبت عددی</t>
        </is>
      </c>
      <c r="O269" s="11" t="inlineStr">
        <is>
          <t>عدد</t>
        </is>
      </c>
      <c r="P269" s="11" t="inlineStr">
        <is>
          <t>سهم جایگزین طبق BOM؛ نیازمند تأیید</t>
        </is>
      </c>
      <c r="Q269" s="13" t="n"/>
      <c r="R269" s="13" t="n"/>
    </row>
    <row r="270" ht="20" customHeight="1">
      <c r="A270" s="5" t="n">
        <v>1110707</v>
      </c>
      <c r="B270" s="6" t="inlineStr">
        <is>
          <t>Resistor 1K,5%,1/10W</t>
        </is>
      </c>
      <c r="C270" s="7">
        <f>ROUNDUP(MAX(0,ROUND(I270+J270-G270,10)),0)</f>
        <v>0</v>
      </c>
      <c r="D270" s="8" t="n"/>
      <c r="E270" s="6" t="inlineStr">
        <is>
          <t>ندارد</t>
        </is>
      </c>
      <c r="F270" s="6" t="inlineStr">
        <is>
          <t>-</t>
        </is>
      </c>
      <c r="G270" s="5" t="n">
        <v>33098</v>
      </c>
      <c r="H270" s="8" t="n"/>
      <c r="I270" s="5">
        <f>SUMIF('جزئیات BOM'!$G$4:$G$607,A270,'جزئیات BOM'!$S$4:$S$607)</f>
        <v>16150</v>
      </c>
      <c r="J270" s="5">
        <f>SUMIF('جزئیات BOM'!$G$4:$G$607,A270,'جزئیات BOM'!$T$4:$T$607)</f>
        <v>16400</v>
      </c>
      <c r="K270" s="5">
        <f>ROUND(G270-I270,10)</f>
        <v>16948</v>
      </c>
      <c r="L270" s="5">
        <f>ROUNDUP(MAX(0,ROUND(J270-G270,10)),0)</f>
        <v>0</v>
      </c>
      <c r="M270" s="5" t="n">
        <v>0</v>
      </c>
      <c r="N270" s="6" t="inlineStr">
        <is>
          <t>ثبت عددی</t>
        </is>
      </c>
      <c r="O270" s="6" t="inlineStr">
        <is>
          <t>عدد</t>
        </is>
      </c>
      <c r="P270" s="6" t="inlineStr"/>
      <c r="Q270" s="9" t="n"/>
      <c r="R270" s="9" t="n"/>
    </row>
    <row r="271" ht="20" customHeight="1">
      <c r="A271" s="10" t="n">
        <v>1110722</v>
      </c>
      <c r="B271" s="11" t="inlineStr">
        <is>
          <t>Resistor 3.9K,5%,1/10W</t>
        </is>
      </c>
      <c r="C271" s="12">
        <f>ROUNDUP(MAX(0,ROUND(I271+J271-G271,10)),0)</f>
        <v>0</v>
      </c>
      <c r="D271" s="8" t="n"/>
      <c r="E271" s="11" t="inlineStr">
        <is>
          <t>ندارد</t>
        </is>
      </c>
      <c r="F271" s="11" t="inlineStr">
        <is>
          <t>-</t>
        </is>
      </c>
      <c r="G271" s="10" t="n">
        <v>9646</v>
      </c>
      <c r="H271" s="8" t="n"/>
      <c r="I271" s="10">
        <f>SUMIF('جزئیات BOM'!$G$4:$G$607,A271,'جزئیات BOM'!$S$4:$S$607)</f>
        <v>2300</v>
      </c>
      <c r="J271" s="10">
        <f>SUMIF('جزئیات BOM'!$G$4:$G$607,A271,'جزئیات BOM'!$T$4:$T$607)</f>
        <v>4000</v>
      </c>
      <c r="K271" s="10">
        <f>ROUND(G271-I271,10)</f>
        <v>7346</v>
      </c>
      <c r="L271" s="10">
        <f>ROUNDUP(MAX(0,ROUND(J271-G271,10)),0)</f>
        <v>0</v>
      </c>
      <c r="M271" s="10" t="n">
        <v>0</v>
      </c>
      <c r="N271" s="11" t="inlineStr">
        <is>
          <t>ثبت عددی</t>
        </is>
      </c>
      <c r="O271" s="11" t="inlineStr">
        <is>
          <t>عدد</t>
        </is>
      </c>
      <c r="P271" s="11" t="inlineStr"/>
      <c r="Q271" s="13" t="n"/>
      <c r="R271" s="13" t="n"/>
    </row>
    <row r="272" ht="20" customHeight="1">
      <c r="A272" s="5" t="n">
        <v>1110727</v>
      </c>
      <c r="B272" s="6" t="inlineStr">
        <is>
          <t>Resistor 33K,5%,1/10W</t>
        </is>
      </c>
      <c r="C272" s="7">
        <f>ROUNDUP(MAX(0,ROUND(I272+J272-G272,10)),0)</f>
        <v>0</v>
      </c>
      <c r="D272" s="8" t="n"/>
      <c r="E272" s="6" t="inlineStr">
        <is>
          <t>ندارد</t>
        </is>
      </c>
      <c r="F272" s="6" t="inlineStr">
        <is>
          <t>-</t>
        </is>
      </c>
      <c r="G272" s="5" t="n">
        <v>12191</v>
      </c>
      <c r="H272" s="8" t="n"/>
      <c r="I272" s="5">
        <f>SUMIF('جزئیات BOM'!$G$4:$G$607,A272,'جزئیات BOM'!$S$4:$S$607)</f>
        <v>3700</v>
      </c>
      <c r="J272" s="5">
        <f>SUMIF('جزئیات BOM'!$G$4:$G$607,A272,'جزئیات BOM'!$T$4:$T$607)</f>
        <v>5200</v>
      </c>
      <c r="K272" s="5">
        <f>ROUND(G272-I272,10)</f>
        <v>8491</v>
      </c>
      <c r="L272" s="5">
        <f>ROUNDUP(MAX(0,ROUND(J272-G272,10)),0)</f>
        <v>0</v>
      </c>
      <c r="M272" s="5" t="n">
        <v>0</v>
      </c>
      <c r="N272" s="6" t="inlineStr">
        <is>
          <t>ثبت عددی</t>
        </is>
      </c>
      <c r="O272" s="6" t="inlineStr">
        <is>
          <t>عدد</t>
        </is>
      </c>
      <c r="P272" s="6" t="inlineStr"/>
      <c r="Q272" s="9" t="n"/>
      <c r="R272" s="9" t="n"/>
    </row>
    <row r="273" ht="20" customHeight="1">
      <c r="A273" s="10" t="n">
        <v>1110729</v>
      </c>
      <c r="B273" s="11" t="inlineStr">
        <is>
          <t>Resistor 36K,1%,1/16W</t>
        </is>
      </c>
      <c r="C273" s="12">
        <f>ROUNDUP(MAX(0,ROUND(I273+J273-G273,10)),0)</f>
        <v>0</v>
      </c>
      <c r="D273" s="8" t="n"/>
      <c r="E273" s="11" t="inlineStr">
        <is>
          <t>ندارد</t>
        </is>
      </c>
      <c r="F273" s="11" t="inlineStr">
        <is>
          <t>-</t>
        </is>
      </c>
      <c r="G273" s="10" t="n">
        <v>20312</v>
      </c>
      <c r="H273" s="8" t="n"/>
      <c r="I273" s="10">
        <f>SUMIF('جزئیات BOM'!$G$4:$G$607,A273,'جزئیات BOM'!$S$4:$S$607)</f>
        <v>4600</v>
      </c>
      <c r="J273" s="10">
        <f>SUMIF('جزئیات BOM'!$G$4:$G$607,A273,'جزئیات BOM'!$T$4:$T$607)</f>
        <v>8000</v>
      </c>
      <c r="K273" s="10">
        <f>ROUND(G273-I273,10)</f>
        <v>15712</v>
      </c>
      <c r="L273" s="10">
        <f>ROUNDUP(MAX(0,ROUND(J273-G273,10)),0)</f>
        <v>0</v>
      </c>
      <c r="M273" s="10" t="n">
        <v>0</v>
      </c>
      <c r="N273" s="11" t="inlineStr">
        <is>
          <t>ثبت عددی</t>
        </is>
      </c>
      <c r="O273" s="11" t="inlineStr">
        <is>
          <t>عدد</t>
        </is>
      </c>
      <c r="P273" s="11" t="inlineStr"/>
      <c r="Q273" s="13" t="n"/>
      <c r="R273" s="13" t="n"/>
    </row>
    <row r="274" ht="20" customHeight="1">
      <c r="A274" s="5" t="n">
        <v>1110741</v>
      </c>
      <c r="B274" s="6" t="inlineStr">
        <is>
          <t>Resistor 68K,5%,1/10W</t>
        </is>
      </c>
      <c r="C274" s="7">
        <f>ROUNDUP(MAX(0,ROUND(I274+J274-G274,10)),0)</f>
        <v>0</v>
      </c>
      <c r="D274" s="8" t="n"/>
      <c r="E274" s="6" t="inlineStr">
        <is>
          <t>ندارد</t>
        </is>
      </c>
      <c r="F274" s="6" t="inlineStr">
        <is>
          <t>-</t>
        </is>
      </c>
      <c r="G274" s="5" t="n">
        <v>22950</v>
      </c>
      <c r="H274" s="8" t="n"/>
      <c r="I274" s="5">
        <f>SUMIF('جزئیات BOM'!$G$4:$G$607,A274,'جزئیات BOM'!$S$4:$S$607)</f>
        <v>4600</v>
      </c>
      <c r="J274" s="5">
        <f>SUMIF('جزئیات BOM'!$G$4:$G$607,A274,'جزئیات BOM'!$T$4:$T$607)</f>
        <v>8000</v>
      </c>
      <c r="K274" s="5">
        <f>ROUND(G274-I274,10)</f>
        <v>18350</v>
      </c>
      <c r="L274" s="5">
        <f>ROUNDUP(MAX(0,ROUND(J274-G274,10)),0)</f>
        <v>0</v>
      </c>
      <c r="M274" s="5" t="n">
        <v>0</v>
      </c>
      <c r="N274" s="6" t="inlineStr">
        <is>
          <t>ثبت عددی</t>
        </is>
      </c>
      <c r="O274" s="6" t="inlineStr">
        <is>
          <t>عدد</t>
        </is>
      </c>
      <c r="P274" s="6" t="inlineStr"/>
      <c r="Q274" s="9" t="n"/>
      <c r="R274" s="9" t="n"/>
    </row>
    <row r="275" ht="20" customHeight="1">
      <c r="A275" s="10" t="n">
        <v>1110747</v>
      </c>
      <c r="B275" s="11" t="inlineStr">
        <is>
          <t>Resistor 330, 5%, 1w</t>
        </is>
      </c>
      <c r="C275" s="12">
        <f>ROUNDUP(MAX(0,ROUND(I275+J275-G275,10)),0)</f>
        <v>0</v>
      </c>
      <c r="D275" s="8" t="n"/>
      <c r="E275" s="11" t="inlineStr">
        <is>
          <t>دارد</t>
        </is>
      </c>
      <c r="F275" s="11" t="inlineStr">
        <is>
          <t>1</t>
        </is>
      </c>
      <c r="G275" s="10" t="n">
        <v>14667</v>
      </c>
      <c r="H275" s="8" t="n"/>
      <c r="I275" s="10">
        <f>SUMIF('جزئیات BOM'!$G$4:$G$607,A275,'جزئیات BOM'!$S$4:$S$607)</f>
        <v>6857</v>
      </c>
      <c r="J275" s="10">
        <f>SUMIF('جزئیات BOM'!$G$4:$G$607,A275,'جزئیات BOM'!$T$4:$T$607)</f>
        <v>5040</v>
      </c>
      <c r="K275" s="10">
        <f>ROUND(G275-I275,10)</f>
        <v>7810</v>
      </c>
      <c r="L275" s="10">
        <f>ROUNDUP(MAX(0,ROUND(J275-G275,10)),0)</f>
        <v>0</v>
      </c>
      <c r="M275" s="10" t="n">
        <v>9275</v>
      </c>
      <c r="N275" s="11" t="inlineStr">
        <is>
          <t>ثبت عددی</t>
        </is>
      </c>
      <c r="O275" s="11" t="inlineStr">
        <is>
          <t>عدد</t>
        </is>
      </c>
      <c r="P275" s="11" t="inlineStr">
        <is>
          <t>سهم جایگزین طبق BOM؛ نیازمند تأیید</t>
        </is>
      </c>
      <c r="Q275" s="13" t="n"/>
      <c r="R275" s="13" t="n"/>
    </row>
    <row r="276" ht="20" customHeight="1">
      <c r="A276" s="5" t="n">
        <v>1110755</v>
      </c>
      <c r="B276" s="6" t="inlineStr">
        <is>
          <t>Resistor 60.4 ,1%,1/2W</t>
        </is>
      </c>
      <c r="C276" s="7">
        <f>ROUNDUP(MAX(0,ROUND(I276+J276-G276,10)),0)</f>
        <v>0</v>
      </c>
      <c r="D276" s="8" t="n"/>
      <c r="E276" s="6" t="inlineStr">
        <is>
          <t>ندارد</t>
        </is>
      </c>
      <c r="F276" s="6" t="inlineStr">
        <is>
          <t>-</t>
        </is>
      </c>
      <c r="G276" s="5" t="n">
        <v>5410</v>
      </c>
      <c r="H276" s="8" t="n"/>
      <c r="I276" s="5">
        <f>SUMIF('جزئیات BOM'!$G$4:$G$607,A276,'جزئیات BOM'!$S$4:$S$607)</f>
        <v>2920</v>
      </c>
      <c r="J276" s="5">
        <f>SUMIF('جزئیات BOM'!$G$4:$G$607,A276,'جزئیات BOM'!$T$4:$T$607)</f>
        <v>2400</v>
      </c>
      <c r="K276" s="5">
        <f>ROUND(G276-I276,10)</f>
        <v>2490</v>
      </c>
      <c r="L276" s="5">
        <f>ROUNDUP(MAX(0,ROUND(J276-G276,10)),0)</f>
        <v>0</v>
      </c>
      <c r="M276" s="5" t="n">
        <v>0</v>
      </c>
      <c r="N276" s="6" t="inlineStr">
        <is>
          <t>ثبت عددی</t>
        </is>
      </c>
      <c r="O276" s="6" t="inlineStr">
        <is>
          <t>عدد</t>
        </is>
      </c>
      <c r="P276" s="6" t="inlineStr"/>
      <c r="Q276" s="9" t="n"/>
      <c r="R276" s="9" t="n"/>
    </row>
    <row r="277" ht="20" customHeight="1">
      <c r="A277" s="10" t="n">
        <v>1110758</v>
      </c>
      <c r="B277" s="11" t="inlineStr">
        <is>
          <t>Resistor 1K,5%,1/2W</t>
        </is>
      </c>
      <c r="C277" s="12">
        <f>ROUNDUP(MAX(0,ROUND(I277+J277-G277,10)),0)</f>
        <v>0</v>
      </c>
      <c r="D277" s="8" t="n"/>
      <c r="E277" s="11" t="inlineStr">
        <is>
          <t>ندارد</t>
        </is>
      </c>
      <c r="F277" s="11" t="inlineStr">
        <is>
          <t>-</t>
        </is>
      </c>
      <c r="G277" s="10" t="n">
        <v>5410</v>
      </c>
      <c r="H277" s="8" t="n"/>
      <c r="I277" s="10">
        <f>SUMIF('جزئیات BOM'!$G$4:$G$607,A277,'جزئیات BOM'!$S$4:$S$607)</f>
        <v>2920</v>
      </c>
      <c r="J277" s="10">
        <f>SUMIF('جزئیات BOM'!$G$4:$G$607,A277,'جزئیات BOM'!$T$4:$T$607)</f>
        <v>2400</v>
      </c>
      <c r="K277" s="10">
        <f>ROUND(G277-I277,10)</f>
        <v>2490</v>
      </c>
      <c r="L277" s="10">
        <f>ROUNDUP(MAX(0,ROUND(J277-G277,10)),0)</f>
        <v>0</v>
      </c>
      <c r="M277" s="10" t="n">
        <v>0</v>
      </c>
      <c r="N277" s="11" t="inlineStr">
        <is>
          <t>ثبت عددی</t>
        </is>
      </c>
      <c r="O277" s="11" t="inlineStr">
        <is>
          <t>عدد</t>
        </is>
      </c>
      <c r="P277" s="11" t="inlineStr"/>
      <c r="Q277" s="13" t="n"/>
      <c r="R277" s="13" t="n"/>
    </row>
    <row r="278" ht="20" customHeight="1">
      <c r="A278" s="5" t="n">
        <v>1110762</v>
      </c>
      <c r="B278" s="6" t="inlineStr">
        <is>
          <t>Resistor 3.32k, 1%,1/16w</t>
        </is>
      </c>
      <c r="C278" s="7">
        <f>ROUNDUP(MAX(0,ROUND(I278+J278-G278,10)),0)</f>
        <v>0</v>
      </c>
      <c r="D278" s="8" t="n"/>
      <c r="E278" s="6" t="inlineStr">
        <is>
          <t>ندارد</t>
        </is>
      </c>
      <c r="F278" s="6" t="inlineStr">
        <is>
          <t>-</t>
        </is>
      </c>
      <c r="G278" s="5" t="n">
        <v>7915</v>
      </c>
      <c r="H278" s="8" t="n"/>
      <c r="I278" s="5">
        <f>SUMIF('جزئیات BOM'!$G$4:$G$607,A278,'جزئیات BOM'!$S$4:$S$607)</f>
        <v>2920</v>
      </c>
      <c r="J278" s="5">
        <f>SUMIF('جزئیات BOM'!$G$4:$G$607,A278,'جزئیات BOM'!$T$4:$T$607)</f>
        <v>2400</v>
      </c>
      <c r="K278" s="5">
        <f>ROUND(G278-I278,10)</f>
        <v>4995</v>
      </c>
      <c r="L278" s="5">
        <f>ROUNDUP(MAX(0,ROUND(J278-G278,10)),0)</f>
        <v>0</v>
      </c>
      <c r="M278" s="5" t="n">
        <v>0</v>
      </c>
      <c r="N278" s="6" t="inlineStr">
        <is>
          <t>ثبت عددی</t>
        </is>
      </c>
      <c r="O278" s="6" t="inlineStr">
        <is>
          <t>عدد</t>
        </is>
      </c>
      <c r="P278" s="6" t="inlineStr"/>
      <c r="Q278" s="9" t="n"/>
      <c r="R278" s="9" t="n"/>
    </row>
    <row r="279" ht="20" customHeight="1">
      <c r="A279" s="10" t="n">
        <v>1110770</v>
      </c>
      <c r="B279" s="11" t="inlineStr">
        <is>
          <t>Resistor PTC</t>
        </is>
      </c>
      <c r="C279" s="12">
        <f>ROUNDUP(MAX(0,ROUND(I279+J279-G279,10)),0)</f>
        <v>0</v>
      </c>
      <c r="D279" s="8" t="n"/>
      <c r="E279" s="11" t="inlineStr">
        <is>
          <t>دارد</t>
        </is>
      </c>
      <c r="F279" s="11" t="inlineStr">
        <is>
          <t>1</t>
        </is>
      </c>
      <c r="G279" s="10" t="n">
        <v>11775</v>
      </c>
      <c r="H279" s="8" t="n"/>
      <c r="I279" s="10">
        <f>SUMIF('جزئیات BOM'!$G$4:$G$607,A279,'جزئیات BOM'!$S$4:$S$607)</f>
        <v>4600</v>
      </c>
      <c r="J279" s="10">
        <f>SUMIF('جزئیات BOM'!$G$4:$G$607,A279,'جزئیات BOM'!$T$4:$T$607)</f>
        <v>6000</v>
      </c>
      <c r="K279" s="10">
        <f>ROUND(G279-I279,10)</f>
        <v>7175</v>
      </c>
      <c r="L279" s="10">
        <f>ROUNDUP(MAX(0,ROUND(J279-G279,10)),0)</f>
        <v>0</v>
      </c>
      <c r="M279" s="10" t="n">
        <v>0</v>
      </c>
      <c r="N279" s="11" t="inlineStr">
        <is>
          <t>ثبت عددی</t>
        </is>
      </c>
      <c r="O279" s="11" t="inlineStr">
        <is>
          <t>عدد</t>
        </is>
      </c>
      <c r="P279" s="11" t="inlineStr">
        <is>
          <t>سهم جایگزین طبق BOM؛ نیازمند تأیید | ۱۰۰٪ تکراری: اولویت اول</t>
        </is>
      </c>
      <c r="Q279" s="13" t="n"/>
      <c r="R279" s="13" t="n"/>
    </row>
    <row r="280" ht="20" customHeight="1">
      <c r="A280" s="5" t="n">
        <v>1110774</v>
      </c>
      <c r="B280" s="6" t="inlineStr">
        <is>
          <t>Resistor PTC 15Ω</t>
        </is>
      </c>
      <c r="C280" s="7">
        <f>ROUNDUP(MAX(0,ROUND(I280+J280-G280,10)),0)</f>
        <v>0</v>
      </c>
      <c r="D280" s="8" t="n"/>
      <c r="E280" s="6" t="inlineStr">
        <is>
          <t>دارد</t>
        </is>
      </c>
      <c r="F280" s="6" t="inlineStr">
        <is>
          <t>2</t>
        </is>
      </c>
      <c r="G280" s="5" t="n">
        <v>5500</v>
      </c>
      <c r="H280" s="8" t="n"/>
      <c r="I280" s="5">
        <f>SUMIF('جزئیات BOM'!$G$4:$G$607,A280,'جزئیات BOM'!$S$4:$S$607)</f>
        <v>1000</v>
      </c>
      <c r="J280" s="5">
        <f>SUMIF('جزئیات BOM'!$G$4:$G$607,A280,'جزئیات BOM'!$T$4:$T$607)</f>
        <v>0</v>
      </c>
      <c r="K280" s="5">
        <f>ROUND(G280-I280,10)</f>
        <v>4500</v>
      </c>
      <c r="L280" s="5">
        <f>ROUNDUP(MAX(0,ROUND(J280-G280,10)),0)</f>
        <v>0</v>
      </c>
      <c r="M280" s="5" t="n">
        <v>0</v>
      </c>
      <c r="N280" s="6" t="inlineStr">
        <is>
          <t>ثبت عددی</t>
        </is>
      </c>
      <c r="O280" s="6" t="inlineStr">
        <is>
          <t>عدد(شمارشی)</t>
        </is>
      </c>
      <c r="P280" s="6" t="inlineStr">
        <is>
          <t>سهم جایگزین طبق BOM؛ نیازمند تأیید | ۱۰۰٪ تکراری: اولویت اول</t>
        </is>
      </c>
      <c r="Q280" s="9" t="n"/>
      <c r="R280" s="9" t="n"/>
    </row>
    <row r="281" ht="20" customHeight="1">
      <c r="A281" s="10" t="n">
        <v>1110803</v>
      </c>
      <c r="B281" s="11" t="inlineStr">
        <is>
          <t>Diode Zener 5.6VDC</t>
        </is>
      </c>
      <c r="C281" s="12">
        <f>ROUNDUP(MAX(0,ROUND(I281+J281-G281,10)),0)</f>
        <v>0</v>
      </c>
      <c r="D281" s="8" t="n"/>
      <c r="E281" s="11" t="inlineStr">
        <is>
          <t>ندارد</t>
        </is>
      </c>
      <c r="F281" s="11" t="inlineStr">
        <is>
          <t>-</t>
        </is>
      </c>
      <c r="G281" s="10" t="n">
        <v>4320</v>
      </c>
      <c r="H281" s="8" t="n"/>
      <c r="I281" s="10">
        <f>SUMIF('جزئیات BOM'!$G$4:$G$607,A281,'جزئیات BOM'!$S$4:$S$607)</f>
        <v>2000</v>
      </c>
      <c r="J281" s="10">
        <f>SUMIF('جزئیات BOM'!$G$4:$G$607,A281,'جزئیات BOM'!$T$4:$T$607)</f>
        <v>0</v>
      </c>
      <c r="K281" s="10">
        <f>ROUND(G281-I281,10)</f>
        <v>2320</v>
      </c>
      <c r="L281" s="10">
        <f>ROUNDUP(MAX(0,ROUND(J281-G281,10)),0)</f>
        <v>0</v>
      </c>
      <c r="M281" s="10" t="n">
        <v>0</v>
      </c>
      <c r="N281" s="11" t="inlineStr">
        <is>
          <t>ثبت عددی</t>
        </is>
      </c>
      <c r="O281" s="11" t="inlineStr">
        <is>
          <t>عدد</t>
        </is>
      </c>
      <c r="P281" s="11" t="inlineStr"/>
      <c r="Q281" s="13" t="n"/>
      <c r="R281" s="13" t="n"/>
    </row>
    <row r="282" ht="20" customHeight="1">
      <c r="A282" s="5" t="n">
        <v>1110845</v>
      </c>
      <c r="B282" s="6" t="inlineStr">
        <is>
          <t>LED, RED LS Q976.01-N1Q2-1</t>
        </is>
      </c>
      <c r="C282" s="7">
        <f>ROUNDUP(MAX(0,ROUND(I282+J282-G282,10)),0)</f>
        <v>0</v>
      </c>
      <c r="D282" s="8" t="n"/>
      <c r="E282" s="6" t="inlineStr">
        <is>
          <t>ندارد</t>
        </is>
      </c>
      <c r="F282" s="6" t="inlineStr">
        <is>
          <t>-</t>
        </is>
      </c>
      <c r="G282" s="5" t="n">
        <v>9924</v>
      </c>
      <c r="H282" s="8" t="n"/>
      <c r="I282" s="5">
        <f>SUMIF('جزئیات BOM'!$G$4:$G$607,A282,'جزئیات BOM'!$S$4:$S$607)</f>
        <v>4500</v>
      </c>
      <c r="J282" s="5">
        <f>SUMIF('جزئیات BOM'!$G$4:$G$607,A282,'جزئیات BOM'!$T$4:$T$607)</f>
        <v>0</v>
      </c>
      <c r="K282" s="5">
        <f>ROUND(G282-I282,10)</f>
        <v>5424</v>
      </c>
      <c r="L282" s="5">
        <f>ROUNDUP(MAX(0,ROUND(J282-G282,10)),0)</f>
        <v>0</v>
      </c>
      <c r="M282" s="5" t="n">
        <v>0</v>
      </c>
      <c r="N282" s="6" t="inlineStr">
        <is>
          <t>ثبت عددی</t>
        </is>
      </c>
      <c r="O282" s="6" t="inlineStr">
        <is>
          <t>عدد(شمارشی)</t>
        </is>
      </c>
      <c r="P282" s="6" t="inlineStr"/>
      <c r="Q282" s="9" t="n"/>
      <c r="R282" s="9" t="n"/>
    </row>
    <row r="283" ht="20" customHeight="1">
      <c r="A283" s="10" t="n">
        <v>1110857</v>
      </c>
      <c r="B283" s="11" t="inlineStr">
        <is>
          <t>LED-Red-RQDA31TZ-WPE</t>
        </is>
      </c>
      <c r="C283" s="12">
        <f>ROUNDUP(MAX(0,ROUND(I283+J283-G283,10)),0)</f>
        <v>0</v>
      </c>
      <c r="D283" s="8" t="n"/>
      <c r="E283" s="11" t="inlineStr">
        <is>
          <t>دارد</t>
        </is>
      </c>
      <c r="F283" s="11" t="inlineStr">
        <is>
          <t>1</t>
        </is>
      </c>
      <c r="G283" s="10" t="n">
        <v>38202</v>
      </c>
      <c r="H283" s="8" t="n"/>
      <c r="I283" s="10">
        <f>SUMIF('جزئیات BOM'!$G$4:$G$607,A283,'جزئیات BOM'!$S$4:$S$607)</f>
        <v>16080</v>
      </c>
      <c r="J283" s="10">
        <f>SUMIF('جزئیات BOM'!$G$4:$G$607,A283,'جزئیات BOM'!$T$4:$T$607)</f>
        <v>6960</v>
      </c>
      <c r="K283" s="10">
        <f>ROUND(G283-I283,10)</f>
        <v>22122</v>
      </c>
      <c r="L283" s="10">
        <f>ROUNDUP(MAX(0,ROUND(J283-G283,10)),0)</f>
        <v>0</v>
      </c>
      <c r="M283" s="10" t="n">
        <v>7878</v>
      </c>
      <c r="N283" s="11" t="inlineStr">
        <is>
          <t>ثبت عددی</t>
        </is>
      </c>
      <c r="O283" s="11" t="inlineStr">
        <is>
          <t>عدد</t>
        </is>
      </c>
      <c r="P283" s="11" t="inlineStr">
        <is>
          <t>سهم جایگزین طبق BOM؛ نیازمند تأیید</t>
        </is>
      </c>
      <c r="Q283" s="13" t="n"/>
      <c r="R283" s="13" t="n"/>
    </row>
    <row r="284" ht="20" customHeight="1">
      <c r="A284" s="5" t="n">
        <v>1110858</v>
      </c>
      <c r="B284" s="6" t="inlineStr">
        <is>
          <t>LED Blue-LB T676-K2L2-1</t>
        </is>
      </c>
      <c r="C284" s="7">
        <f>ROUNDUP(MAX(0,ROUND(I284+J284-G284,10)),0)</f>
        <v>0</v>
      </c>
      <c r="D284" s="8" t="n"/>
      <c r="E284" s="6" t="inlineStr">
        <is>
          <t>دارد</t>
        </is>
      </c>
      <c r="F284" s="6" t="inlineStr">
        <is>
          <t>1</t>
        </is>
      </c>
      <c r="G284" s="5" t="n">
        <v>3054</v>
      </c>
      <c r="H284" s="8" t="n"/>
      <c r="I284" s="5">
        <f>SUMIF('جزئیات BOM'!$G$4:$G$607,A284,'جزئیات BOM'!$S$4:$S$607)</f>
        <v>792.2</v>
      </c>
      <c r="J284" s="5">
        <f>SUMIF('جزئیات BOM'!$G$4:$G$607,A284,'جزئیات BOM'!$T$4:$T$607)</f>
        <v>394.4</v>
      </c>
      <c r="K284" s="5">
        <f>ROUND(G284-I284,10)</f>
        <v>2261.8</v>
      </c>
      <c r="L284" s="5">
        <f>ROUNDUP(MAX(0,ROUND(J284-G284,10)),0)</f>
        <v>0</v>
      </c>
      <c r="M284" s="5" t="n">
        <v>436</v>
      </c>
      <c r="N284" s="6" t="inlineStr">
        <is>
          <t>ثبت عددی</t>
        </is>
      </c>
      <c r="O284" s="6" t="inlineStr">
        <is>
          <t>عدد</t>
        </is>
      </c>
      <c r="P284" s="6" t="inlineStr">
        <is>
          <t>سهم جایگزین طبق BOM؛ نیازمند تأیید</t>
        </is>
      </c>
      <c r="Q284" s="9" t="n"/>
      <c r="R284" s="9" t="n"/>
    </row>
    <row r="285" ht="20" customHeight="1">
      <c r="A285" s="10" t="n">
        <v>1110859</v>
      </c>
      <c r="B285" s="11" t="inlineStr">
        <is>
          <t>LED ORANGE WPE</t>
        </is>
      </c>
      <c r="C285" s="12">
        <f>ROUNDUP(MAX(0,ROUND(I285+J285-G285,10)),0)</f>
        <v>0</v>
      </c>
      <c r="D285" s="8" t="n"/>
      <c r="E285" s="11" t="inlineStr">
        <is>
          <t>ندارد</t>
        </is>
      </c>
      <c r="F285" s="11" t="inlineStr">
        <is>
          <t>-</t>
        </is>
      </c>
      <c r="G285" s="10" t="n">
        <v>21880</v>
      </c>
      <c r="H285" s="8" t="n"/>
      <c r="I285" s="10">
        <f>SUMIF('جزئیات BOM'!$G$4:$G$607,A285,'جزئیات BOM'!$S$4:$S$607)</f>
        <v>14700</v>
      </c>
      <c r="J285" s="10">
        <f>SUMIF('جزئیات BOM'!$G$4:$G$607,A285,'جزئیات BOM'!$T$4:$T$607)</f>
        <v>0</v>
      </c>
      <c r="K285" s="10">
        <f>ROUND(G285-I285,10)</f>
        <v>7180</v>
      </c>
      <c r="L285" s="10">
        <f>ROUNDUP(MAX(0,ROUND(J285-G285,10)),0)</f>
        <v>0</v>
      </c>
      <c r="M285" s="10" t="n">
        <v>0</v>
      </c>
      <c r="N285" s="11" t="inlineStr">
        <is>
          <t>ثبت عددی</t>
        </is>
      </c>
      <c r="O285" s="11" t="inlineStr">
        <is>
          <t>عدد</t>
        </is>
      </c>
      <c r="P285" s="11" t="inlineStr"/>
      <c r="Q285" s="13" t="n"/>
      <c r="R285" s="13" t="n"/>
    </row>
    <row r="286" ht="20" customHeight="1">
      <c r="A286" s="5" t="n">
        <v>1110860</v>
      </c>
      <c r="B286" s="6" t="inlineStr">
        <is>
          <t>LED True Green</t>
        </is>
      </c>
      <c r="C286" s="7">
        <f>ROUNDUP(MAX(0,ROUND(I286+J286-G286,10)),0)</f>
        <v>0</v>
      </c>
      <c r="D286" s="8" t="n"/>
      <c r="E286" s="6" t="inlineStr">
        <is>
          <t>دارد</t>
        </is>
      </c>
      <c r="F286" s="6" t="inlineStr">
        <is>
          <t>1</t>
        </is>
      </c>
      <c r="G286" s="5" t="n">
        <v>8394</v>
      </c>
      <c r="H286" s="8" t="n"/>
      <c r="I286" s="5">
        <f>SUMIF('جزئیات BOM'!$G$4:$G$607,A286,'جزئیات BOM'!$S$4:$S$607)</f>
        <v>3495</v>
      </c>
      <c r="J286" s="5">
        <f>SUMIF('جزئیات BOM'!$G$4:$G$607,A286,'جزئیات BOM'!$T$4:$T$607)</f>
        <v>1740</v>
      </c>
      <c r="K286" s="5">
        <f>ROUND(G286-I286,10)</f>
        <v>4899</v>
      </c>
      <c r="L286" s="5">
        <f>ROUNDUP(MAX(0,ROUND(J286-G286,10)),0)</f>
        <v>0</v>
      </c>
      <c r="M286" s="5" t="n">
        <v>2076</v>
      </c>
      <c r="N286" s="6" t="inlineStr">
        <is>
          <t>ثبت عددی</t>
        </is>
      </c>
      <c r="O286" s="6" t="inlineStr">
        <is>
          <t>عدد</t>
        </is>
      </c>
      <c r="P286" s="6" t="inlineStr">
        <is>
          <t>سهم جایگزین طبق BOM؛ نیازمند تأیید</t>
        </is>
      </c>
      <c r="Q286" s="9" t="n"/>
      <c r="R286" s="9" t="n"/>
    </row>
    <row r="287" ht="20" customHeight="1">
      <c r="A287" s="10" t="n">
        <v>1110861</v>
      </c>
      <c r="B287" s="11" t="inlineStr">
        <is>
          <t>LED White</t>
        </is>
      </c>
      <c r="C287" s="12">
        <f>ROUNDUP(MAX(0,ROUND(I287+J287-G287,10)),0)</f>
        <v>0</v>
      </c>
      <c r="D287" s="8" t="n"/>
      <c r="E287" s="11" t="inlineStr">
        <is>
          <t>دارد</t>
        </is>
      </c>
      <c r="F287" s="11" t="inlineStr">
        <is>
          <t>1</t>
        </is>
      </c>
      <c r="G287" s="10" t="n">
        <v>27460</v>
      </c>
      <c r="H287" s="8" t="n"/>
      <c r="I287" s="10">
        <f>SUMIF('جزئیات BOM'!$G$4:$G$607,A287,'جزئیات BOM'!$S$4:$S$607)</f>
        <v>3515</v>
      </c>
      <c r="J287" s="10">
        <f>SUMIF('جزئیات BOM'!$G$4:$G$607,A287,'جزئیات BOM'!$T$4:$T$607)</f>
        <v>3080</v>
      </c>
      <c r="K287" s="10">
        <f>ROUND(G287-I287,10)</f>
        <v>23945</v>
      </c>
      <c r="L287" s="10">
        <f>ROUNDUP(MAX(0,ROUND(J287-G287,10)),0)</f>
        <v>0</v>
      </c>
      <c r="M287" s="10" t="n">
        <v>0</v>
      </c>
      <c r="N287" s="11" t="inlineStr">
        <is>
          <t>ثبت عددی</t>
        </is>
      </c>
      <c r="O287" s="11" t="inlineStr">
        <is>
          <t>عدد</t>
        </is>
      </c>
      <c r="P287" s="11" t="inlineStr">
        <is>
          <t>سهم جایگزین طبق BOM؛ نیازمند تأیید</t>
        </is>
      </c>
      <c r="Q287" s="13" t="n"/>
      <c r="R287" s="13" t="n"/>
    </row>
    <row r="288" ht="20" customHeight="1">
      <c r="A288" s="5" t="n">
        <v>1110865</v>
      </c>
      <c r="B288" s="6" t="inlineStr">
        <is>
          <t>LED;IWS-L3022-PW-D1</t>
        </is>
      </c>
      <c r="C288" s="7">
        <f>ROUNDUP(MAX(0,ROUND(I288+J288-G288,10)),0)</f>
        <v>0</v>
      </c>
      <c r="D288" s="8" t="n"/>
      <c r="E288" s="6" t="inlineStr">
        <is>
          <t>ندارد</t>
        </is>
      </c>
      <c r="F288" s="6" t="inlineStr">
        <is>
          <t>-</t>
        </is>
      </c>
      <c r="G288" s="5" t="n">
        <v>31805</v>
      </c>
      <c r="H288" s="8" t="n"/>
      <c r="I288" s="5">
        <f>SUMIF('جزئیات BOM'!$G$4:$G$607,A288,'جزئیات BOM'!$S$4:$S$607)</f>
        <v>16200</v>
      </c>
      <c r="J288" s="5">
        <f>SUMIF('جزئیات BOM'!$G$4:$G$607,A288,'جزئیات BOM'!$T$4:$T$607)</f>
        <v>15000</v>
      </c>
      <c r="K288" s="5">
        <f>ROUND(G288-I288,10)</f>
        <v>15605</v>
      </c>
      <c r="L288" s="5">
        <f>ROUNDUP(MAX(0,ROUND(J288-G288,10)),0)</f>
        <v>0</v>
      </c>
      <c r="M288" s="5" t="n">
        <v>0</v>
      </c>
      <c r="N288" s="6" t="inlineStr">
        <is>
          <t>ثبت عددی</t>
        </is>
      </c>
      <c r="O288" s="6" t="inlineStr">
        <is>
          <t>عدد</t>
        </is>
      </c>
      <c r="P288" s="6" t="inlineStr"/>
      <c r="Q288" s="9" t="n"/>
      <c r="R288" s="9" t="n"/>
    </row>
    <row r="289" ht="20" customHeight="1">
      <c r="A289" s="10" t="n">
        <v>1110903</v>
      </c>
      <c r="B289" s="11" t="inlineStr">
        <is>
          <t>Diode 1N4007</t>
        </is>
      </c>
      <c r="C289" s="12">
        <f>ROUNDUP(MAX(0,ROUND(I289+J289-G289,10)),0)</f>
        <v>0</v>
      </c>
      <c r="D289" s="8" t="n"/>
      <c r="E289" s="11" t="inlineStr">
        <is>
          <t>دارد</t>
        </is>
      </c>
      <c r="F289" s="11" t="inlineStr">
        <is>
          <t>1</t>
        </is>
      </c>
      <c r="G289" s="10" t="n">
        <v>46022</v>
      </c>
      <c r="H289" s="8" t="n"/>
      <c r="I289" s="10">
        <f>SUMIF('جزئیات BOM'!$G$4:$G$607,A289,'جزئیات BOM'!$S$4:$S$607)</f>
        <v>17205</v>
      </c>
      <c r="J289" s="10">
        <f>SUMIF('جزئیات BOM'!$G$4:$G$607,A289,'جزئیات BOM'!$T$4:$T$607)</f>
        <v>25160</v>
      </c>
      <c r="K289" s="10">
        <f>ROUND(G289-I289,10)</f>
        <v>28817</v>
      </c>
      <c r="L289" s="10">
        <f>ROUNDUP(MAX(0,ROUND(J289-G289,10)),0)</f>
        <v>0</v>
      </c>
      <c r="M289" s="10" t="n">
        <v>308</v>
      </c>
      <c r="N289" s="11" t="inlineStr">
        <is>
          <t>ثبت عددی</t>
        </is>
      </c>
      <c r="O289" s="11" t="inlineStr">
        <is>
          <t>عدد</t>
        </is>
      </c>
      <c r="P289" s="11" t="inlineStr">
        <is>
          <t>سهم جایگزین طبق BOM؛ نیازمند تأیید | ۱۰۰٪ تکراری: اولویت اول</t>
        </is>
      </c>
      <c r="Q289" s="13" t="n"/>
      <c r="R289" s="13" t="n"/>
    </row>
    <row r="290" ht="20" customHeight="1">
      <c r="A290" s="5" t="n">
        <v>1110913</v>
      </c>
      <c r="B290" s="6" t="inlineStr">
        <is>
          <t>Diode BAV99LT1</t>
        </is>
      </c>
      <c r="C290" s="7">
        <f>ROUNDUP(MAX(0,ROUND(I290+J290-G290,10)),0)</f>
        <v>0</v>
      </c>
      <c r="D290" s="8" t="n"/>
      <c r="E290" s="6" t="inlineStr">
        <is>
          <t>ندارد</t>
        </is>
      </c>
      <c r="F290" s="6" t="inlineStr">
        <is>
          <t>-</t>
        </is>
      </c>
      <c r="G290" s="5" t="n">
        <v>19118</v>
      </c>
      <c r="H290" s="8" t="n"/>
      <c r="I290" s="5">
        <f>SUMIF('جزئیات BOM'!$G$4:$G$607,A290,'جزئیات BOM'!$S$4:$S$607)</f>
        <v>11880</v>
      </c>
      <c r="J290" s="5">
        <f>SUMIF('جزئیات BOM'!$G$4:$G$607,A290,'جزئیات BOM'!$T$4:$T$607)</f>
        <v>6960</v>
      </c>
      <c r="K290" s="5">
        <f>ROUND(G290-I290,10)</f>
        <v>7238</v>
      </c>
      <c r="L290" s="5">
        <f>ROUNDUP(MAX(0,ROUND(J290-G290,10)),0)</f>
        <v>0</v>
      </c>
      <c r="M290" s="5" t="n">
        <v>0</v>
      </c>
      <c r="N290" s="6" t="inlineStr">
        <is>
          <t>ثبت عددی</t>
        </is>
      </c>
      <c r="O290" s="6" t="inlineStr">
        <is>
          <t>عدد</t>
        </is>
      </c>
      <c r="P290" s="6" t="inlineStr"/>
      <c r="Q290" s="9" t="n"/>
      <c r="R290" s="9" t="n"/>
    </row>
    <row r="291" ht="20" customHeight="1">
      <c r="A291" s="10" t="n">
        <v>1110919</v>
      </c>
      <c r="B291" s="11" t="inlineStr">
        <is>
          <t>DIODE S3MB</t>
        </is>
      </c>
      <c r="C291" s="12">
        <f>ROUNDUP(MAX(0,ROUND(I291+J291-G291,10)),0)</f>
        <v>0</v>
      </c>
      <c r="D291" s="8" t="n"/>
      <c r="E291" s="11" t="inlineStr">
        <is>
          <t>ندارد</t>
        </is>
      </c>
      <c r="F291" s="11" t="inlineStr">
        <is>
          <t>-</t>
        </is>
      </c>
      <c r="G291" s="10" t="n">
        <v>5197</v>
      </c>
      <c r="H291" s="8" t="n"/>
      <c r="I291" s="10">
        <f>SUMIF('جزئیات BOM'!$G$4:$G$607,A291,'جزئیات BOM'!$S$4:$S$607)</f>
        <v>1200</v>
      </c>
      <c r="J291" s="10">
        <f>SUMIF('جزئیات BOM'!$G$4:$G$607,A291,'جزئیات BOM'!$T$4:$T$607)</f>
        <v>2000</v>
      </c>
      <c r="K291" s="10">
        <f>ROUND(G291-I291,10)</f>
        <v>3997</v>
      </c>
      <c r="L291" s="10">
        <f>ROUNDUP(MAX(0,ROUND(J291-G291,10)),0)</f>
        <v>0</v>
      </c>
      <c r="M291" s="10" t="n">
        <v>0</v>
      </c>
      <c r="N291" s="11" t="inlineStr">
        <is>
          <t>ثبت عددی</t>
        </is>
      </c>
      <c r="O291" s="11" t="inlineStr">
        <is>
          <t>عدد</t>
        </is>
      </c>
      <c r="P291" s="11" t="inlineStr"/>
      <c r="Q291" s="13" t="n"/>
      <c r="R291" s="13" t="n"/>
    </row>
    <row r="292" ht="20" customHeight="1">
      <c r="A292" s="5" t="n">
        <v>1110920</v>
      </c>
      <c r="B292" s="6" t="inlineStr">
        <is>
          <t>Diode US1M</t>
        </is>
      </c>
      <c r="C292" s="7">
        <f>ROUNDUP(MAX(0,ROUND(I292+J292-G292,10)),0)</f>
        <v>0</v>
      </c>
      <c r="D292" s="8" t="n"/>
      <c r="E292" s="6" t="inlineStr">
        <is>
          <t>ندارد</t>
        </is>
      </c>
      <c r="F292" s="6" t="inlineStr">
        <is>
          <t>-</t>
        </is>
      </c>
      <c r="G292" s="5" t="n">
        <v>46875</v>
      </c>
      <c r="H292" s="8" t="n"/>
      <c r="I292" s="5">
        <f>SUMIF('جزئیات BOM'!$G$4:$G$607,A292,'جزئیات BOM'!$S$4:$S$607)</f>
        <v>21840</v>
      </c>
      <c r="J292" s="5">
        <f>SUMIF('جزئیات BOM'!$G$4:$G$607,A292,'جزئیات BOM'!$T$4:$T$607)</f>
        <v>10800</v>
      </c>
      <c r="K292" s="5">
        <f>ROUND(G292-I292,10)</f>
        <v>25035</v>
      </c>
      <c r="L292" s="5">
        <f>ROUNDUP(MAX(0,ROUND(J292-G292,10)),0)</f>
        <v>0</v>
      </c>
      <c r="M292" s="5" t="n">
        <v>0</v>
      </c>
      <c r="N292" s="6" t="inlineStr">
        <is>
          <t>ثبت عددی</t>
        </is>
      </c>
      <c r="O292" s="6" t="inlineStr">
        <is>
          <t>عدد</t>
        </is>
      </c>
      <c r="P292" s="6" t="inlineStr"/>
      <c r="Q292" s="9" t="n"/>
      <c r="R292" s="9" t="n"/>
    </row>
    <row r="293" ht="20" customHeight="1">
      <c r="A293" s="10" t="n">
        <v>1110921</v>
      </c>
      <c r="B293" s="11" t="inlineStr">
        <is>
          <t>Diode-TVS 400W-SMAJ28CAHE3_A/H</t>
        </is>
      </c>
      <c r="C293" s="12">
        <f>ROUNDUP(MAX(0,ROUND(I293+J293-G293,10)),0)</f>
        <v>0</v>
      </c>
      <c r="D293" s="8" t="n"/>
      <c r="E293" s="11" t="inlineStr">
        <is>
          <t>ندارد</t>
        </is>
      </c>
      <c r="F293" s="11" t="inlineStr">
        <is>
          <t>-</t>
        </is>
      </c>
      <c r="G293" s="10" t="n">
        <v>10063</v>
      </c>
      <c r="H293" s="8" t="n"/>
      <c r="I293" s="10">
        <f>SUMIF('جزئیات BOM'!$G$4:$G$607,A293,'جزئیات BOM'!$S$4:$S$607)</f>
        <v>4380</v>
      </c>
      <c r="J293" s="10">
        <f>SUMIF('جزئیات BOM'!$G$4:$G$607,A293,'جزئیات BOM'!$T$4:$T$607)</f>
        <v>3600</v>
      </c>
      <c r="K293" s="10">
        <f>ROUND(G293-I293,10)</f>
        <v>5683</v>
      </c>
      <c r="L293" s="10">
        <f>ROUNDUP(MAX(0,ROUND(J293-G293,10)),0)</f>
        <v>0</v>
      </c>
      <c r="M293" s="10" t="n">
        <v>0</v>
      </c>
      <c r="N293" s="11" t="inlineStr">
        <is>
          <t>ثبت عددی</t>
        </is>
      </c>
      <c r="O293" s="11" t="inlineStr">
        <is>
          <t>عدد</t>
        </is>
      </c>
      <c r="P293" s="11" t="inlineStr"/>
      <c r="Q293" s="13" t="n"/>
      <c r="R293" s="13" t="n"/>
    </row>
    <row r="294" ht="20" customHeight="1">
      <c r="A294" s="5" t="n">
        <v>1111002</v>
      </c>
      <c r="B294" s="6" t="inlineStr">
        <is>
          <t>Regulator 5V LOW DROP VOLTAGE</t>
        </is>
      </c>
      <c r="C294" s="7">
        <f>ROUNDUP(MAX(0,ROUND(I294+J294-G294,10)),0)</f>
        <v>0</v>
      </c>
      <c r="D294" s="8" t="n"/>
      <c r="E294" s="6" t="inlineStr">
        <is>
          <t>دارد</t>
        </is>
      </c>
      <c r="F294" s="6" t="inlineStr">
        <is>
          <t>1</t>
        </is>
      </c>
      <c r="G294" s="5" t="n">
        <v>5839</v>
      </c>
      <c r="H294" s="8" t="n"/>
      <c r="I294" s="5">
        <f>SUMIF('جزئیات BOM'!$G$4:$G$607,A294,'جزئیات BOM'!$S$4:$S$607)</f>
        <v>1165</v>
      </c>
      <c r="J294" s="5">
        <f>SUMIF('جزئیات BOM'!$G$4:$G$607,A294,'جزئیات BOM'!$T$4:$T$607)</f>
        <v>580</v>
      </c>
      <c r="K294" s="5">
        <f>ROUND(G294-I294,10)</f>
        <v>4674</v>
      </c>
      <c r="L294" s="5">
        <f>ROUNDUP(MAX(0,ROUND(J294-G294,10)),0)</f>
        <v>0</v>
      </c>
      <c r="M294" s="5" t="n">
        <v>0</v>
      </c>
      <c r="N294" s="6" t="inlineStr">
        <is>
          <t>ثبت عددی</t>
        </is>
      </c>
      <c r="O294" s="6" t="inlineStr">
        <is>
          <t>عدد</t>
        </is>
      </c>
      <c r="P294" s="6" t="inlineStr">
        <is>
          <t>سهم جایگزین طبق BOM؛ نیازمند تأیید</t>
        </is>
      </c>
      <c r="Q294" s="9" t="n"/>
      <c r="R294" s="9" t="n"/>
    </row>
    <row r="295" ht="20" customHeight="1">
      <c r="A295" s="10" t="n">
        <v>1111004</v>
      </c>
      <c r="B295" s="11" t="inlineStr">
        <is>
          <t>Regulator TLE4291E</t>
        </is>
      </c>
      <c r="C295" s="12">
        <f>ROUNDUP(MAX(0,ROUND(I295+J295-G295,10)),0)</f>
        <v>0</v>
      </c>
      <c r="D295" s="8" t="n"/>
      <c r="E295" s="11" t="inlineStr">
        <is>
          <t>ندارد</t>
        </is>
      </c>
      <c r="F295" s="11" t="inlineStr">
        <is>
          <t>-</t>
        </is>
      </c>
      <c r="G295" s="10" t="n">
        <v>3000</v>
      </c>
      <c r="H295" s="8" t="n"/>
      <c r="I295" s="10">
        <f>SUMIF('جزئیات BOM'!$G$4:$G$607,A295,'جزئیات BOM'!$S$4:$S$607)</f>
        <v>1460</v>
      </c>
      <c r="J295" s="10">
        <f>SUMIF('جزئیات BOM'!$G$4:$G$607,A295,'جزئیات BOM'!$T$4:$T$607)</f>
        <v>1200</v>
      </c>
      <c r="K295" s="10">
        <f>ROUND(G295-I295,10)</f>
        <v>1540</v>
      </c>
      <c r="L295" s="10">
        <f>ROUNDUP(MAX(0,ROUND(J295-G295,10)),0)</f>
        <v>0</v>
      </c>
      <c r="M295" s="10" t="n">
        <v>0</v>
      </c>
      <c r="N295" s="11" t="inlineStr">
        <is>
          <t>ثبت عددی</t>
        </is>
      </c>
      <c r="O295" s="11" t="inlineStr">
        <is>
          <t>عدد</t>
        </is>
      </c>
      <c r="P295" s="11" t="inlineStr"/>
      <c r="Q295" s="13" t="n"/>
      <c r="R295" s="13" t="n"/>
    </row>
    <row r="296" ht="20" customHeight="1">
      <c r="A296" s="5" t="n">
        <v>1111014</v>
      </c>
      <c r="B296" s="6" t="inlineStr">
        <is>
          <t>Crystal 52.9025MHZ</t>
        </is>
      </c>
      <c r="C296" s="7">
        <f>ROUNDUP(MAX(0,ROUND(I296+J296-G296,10)),0)</f>
        <v>0</v>
      </c>
      <c r="D296" s="8" t="n"/>
      <c r="E296" s="6" t="inlineStr">
        <is>
          <t>ندارد</t>
        </is>
      </c>
      <c r="F296" s="6" t="inlineStr">
        <is>
          <t>-</t>
        </is>
      </c>
      <c r="G296" s="5" t="n">
        <v>9289</v>
      </c>
      <c r="H296" s="8" t="n"/>
      <c r="I296" s="5">
        <f>SUMIF('جزئیات BOM'!$G$4:$G$607,A296,'جزئیات BOM'!$S$4:$S$607)</f>
        <v>2300</v>
      </c>
      <c r="J296" s="5">
        <f>SUMIF('جزئیات BOM'!$G$4:$G$607,A296,'جزئیات BOM'!$T$4:$T$607)</f>
        <v>4000</v>
      </c>
      <c r="K296" s="5">
        <f>ROUND(G296-I296,10)</f>
        <v>6989</v>
      </c>
      <c r="L296" s="5">
        <f>ROUNDUP(MAX(0,ROUND(J296-G296,10)),0)</f>
        <v>0</v>
      </c>
      <c r="M296" s="5" t="n">
        <v>0</v>
      </c>
      <c r="N296" s="6" t="inlineStr">
        <is>
          <t>ثبت عددی</t>
        </is>
      </c>
      <c r="O296" s="6" t="inlineStr">
        <is>
          <t>عدد</t>
        </is>
      </c>
      <c r="P296" s="6" t="inlineStr"/>
      <c r="Q296" s="9" t="n"/>
      <c r="R296" s="9" t="n"/>
    </row>
    <row r="297" ht="20" customHeight="1">
      <c r="A297" s="10" t="n">
        <v>1111039</v>
      </c>
      <c r="B297" s="11" t="inlineStr">
        <is>
          <t>IC RL78</t>
        </is>
      </c>
      <c r="C297" s="12">
        <f>ROUNDUP(MAX(0,ROUND(I297+J297-G297,10)),0)</f>
        <v>0</v>
      </c>
      <c r="D297" s="8" t="n"/>
      <c r="E297" s="11" t="inlineStr">
        <is>
          <t>دارد</t>
        </is>
      </c>
      <c r="F297" s="11" t="inlineStr">
        <is>
          <t>1</t>
        </is>
      </c>
      <c r="G297" s="10" t="n">
        <v>1617</v>
      </c>
      <c r="H297" s="8" t="n"/>
      <c r="I297" s="10">
        <f>SUMIF('جزئیات BOM'!$G$4:$G$607,A297,'جزئیات BOM'!$S$4:$S$607)</f>
        <v>357</v>
      </c>
      <c r="J297" s="10">
        <f>SUMIF('جزئیات BOM'!$G$4:$G$607,A297,'جزئیات BOM'!$T$4:$T$607)</f>
        <v>0</v>
      </c>
      <c r="K297" s="10">
        <f>ROUND(G297-I297,10)</f>
        <v>1260</v>
      </c>
      <c r="L297" s="10">
        <f>ROUNDUP(MAX(0,ROUND(J297-G297,10)),0)</f>
        <v>0</v>
      </c>
      <c r="M297" s="10" t="n">
        <v>0</v>
      </c>
      <c r="N297" s="11" t="inlineStr">
        <is>
          <t>ثبت عددی</t>
        </is>
      </c>
      <c r="O297" s="11" t="inlineStr">
        <is>
          <t>عدد</t>
        </is>
      </c>
      <c r="P297" s="11" t="inlineStr">
        <is>
          <t>سهم جایگزین طبق BOM؛ نیازمند تأیید</t>
        </is>
      </c>
      <c r="Q297" s="13" t="n"/>
      <c r="R297" s="13" t="n"/>
    </row>
    <row r="298" ht="20" customHeight="1">
      <c r="A298" s="5" t="n">
        <v>1111041</v>
      </c>
      <c r="B298" s="6" t="inlineStr">
        <is>
          <t>IC TLE75008-ESD</t>
        </is>
      </c>
      <c r="C298" s="7">
        <f>ROUNDUP(MAX(0,ROUND(I298+J298-G298,10)),0)</f>
        <v>0</v>
      </c>
      <c r="D298" s="8" t="n"/>
      <c r="E298" s="6" t="inlineStr">
        <is>
          <t>دارد</t>
        </is>
      </c>
      <c r="F298" s="6" t="inlineStr">
        <is>
          <t>1</t>
        </is>
      </c>
      <c r="G298" s="5" t="n">
        <v>6234</v>
      </c>
      <c r="H298" s="8" t="n"/>
      <c r="I298" s="5">
        <f>SUMIF('جزئیات BOM'!$G$4:$G$607,A298,'جزئیات BOM'!$S$4:$S$607)</f>
        <v>1750</v>
      </c>
      <c r="J298" s="5">
        <f>SUMIF('جزئیات BOM'!$G$4:$G$607,A298,'جزئیات BOM'!$T$4:$T$607)</f>
        <v>1200</v>
      </c>
      <c r="K298" s="5">
        <f>ROUND(G298-I298,10)</f>
        <v>4484</v>
      </c>
      <c r="L298" s="5">
        <f>ROUNDUP(MAX(0,ROUND(J298-G298,10)),0)</f>
        <v>0</v>
      </c>
      <c r="M298" s="5" t="n">
        <v>0</v>
      </c>
      <c r="N298" s="6" t="inlineStr">
        <is>
          <t>ثبت عددی</t>
        </is>
      </c>
      <c r="O298" s="6" t="inlineStr">
        <is>
          <t>عدد</t>
        </is>
      </c>
      <c r="P298" s="6" t="inlineStr">
        <is>
          <t>سهم جایگزین طبق BOM؛ نیازمند تأیید</t>
        </is>
      </c>
      <c r="Q298" s="9" t="n"/>
      <c r="R298" s="9" t="n"/>
    </row>
    <row r="299" ht="20" customHeight="1">
      <c r="A299" s="10" t="n">
        <v>1111063</v>
      </c>
      <c r="B299" s="11" t="inlineStr">
        <is>
          <t>IC ULQ2003ATPWRQ1</t>
        </is>
      </c>
      <c r="C299" s="12">
        <f>ROUNDUP(MAX(0,ROUND(I299+J299-G299,10)),0)</f>
        <v>0</v>
      </c>
      <c r="D299" s="8" t="n"/>
      <c r="E299" s="11" t="inlineStr">
        <is>
          <t>ندارد</t>
        </is>
      </c>
      <c r="F299" s="11" t="inlineStr">
        <is>
          <t>-</t>
        </is>
      </c>
      <c r="G299" s="10" t="n">
        <v>3803</v>
      </c>
      <c r="H299" s="8" t="n"/>
      <c r="I299" s="10">
        <f>SUMIF('جزئیات BOM'!$G$4:$G$607,A299,'جزئیات BOM'!$S$4:$S$607)</f>
        <v>1400</v>
      </c>
      <c r="J299" s="10">
        <f>SUMIF('جزئیات BOM'!$G$4:$G$607,A299,'جزئیات BOM'!$T$4:$T$607)</f>
        <v>1200</v>
      </c>
      <c r="K299" s="10">
        <f>ROUND(G299-I299,10)</f>
        <v>2403</v>
      </c>
      <c r="L299" s="10">
        <f>ROUNDUP(MAX(0,ROUND(J299-G299,10)),0)</f>
        <v>0</v>
      </c>
      <c r="M299" s="10" t="n">
        <v>0</v>
      </c>
      <c r="N299" s="11" t="inlineStr">
        <is>
          <t>ثبت عددی</t>
        </is>
      </c>
      <c r="O299" s="11" t="inlineStr">
        <is>
          <t>عدد(شمارشی)</t>
        </is>
      </c>
      <c r="P299" s="11" t="inlineStr"/>
      <c r="Q299" s="13" t="n"/>
      <c r="R299" s="13" t="n"/>
    </row>
    <row r="300" ht="20" customHeight="1">
      <c r="A300" s="5" t="n">
        <v>1111080</v>
      </c>
      <c r="B300" s="6" t="inlineStr">
        <is>
          <t>MOSFET IRLML6402PowerTrench</t>
        </is>
      </c>
      <c r="C300" s="7">
        <f>ROUNDUP(MAX(0,ROUND(I300+J300-G300,10)),0)</f>
        <v>0</v>
      </c>
      <c r="D300" s="8" t="n"/>
      <c r="E300" s="6" t="inlineStr">
        <is>
          <t>ندارد</t>
        </is>
      </c>
      <c r="F300" s="6" t="inlineStr">
        <is>
          <t>-</t>
        </is>
      </c>
      <c r="G300" s="5" t="n">
        <v>15008</v>
      </c>
      <c r="H300" s="8" t="n"/>
      <c r="I300" s="5">
        <f>SUMIF('جزئیات BOM'!$G$4:$G$607,A300,'جزئیات BOM'!$S$4:$S$607)</f>
        <v>1500</v>
      </c>
      <c r="J300" s="5">
        <f>SUMIF('جزئیات BOM'!$G$4:$G$607,A300,'جزئیات BOM'!$T$4:$T$607)</f>
        <v>0</v>
      </c>
      <c r="K300" s="5">
        <f>ROUND(G300-I300,10)</f>
        <v>13508</v>
      </c>
      <c r="L300" s="5">
        <f>ROUNDUP(MAX(0,ROUND(J300-G300,10)),0)</f>
        <v>0</v>
      </c>
      <c r="M300" s="5" t="n">
        <v>0</v>
      </c>
      <c r="N300" s="6" t="inlineStr">
        <is>
          <t>ثبت عددی</t>
        </is>
      </c>
      <c r="O300" s="6" t="inlineStr">
        <is>
          <t>عدد(شمارشی)</t>
        </is>
      </c>
      <c r="P300" s="6" t="inlineStr"/>
      <c r="Q300" s="9" t="n"/>
      <c r="R300" s="9" t="n"/>
    </row>
    <row r="301" ht="20" customHeight="1">
      <c r="A301" s="10" t="n">
        <v>1111081</v>
      </c>
      <c r="B301" s="11" t="inlineStr">
        <is>
          <t>Mosfet HCW60R150</t>
        </is>
      </c>
      <c r="C301" s="12">
        <f>ROUNDUP(MAX(0,ROUND(I301+J301-G301,10)),0)</f>
        <v>0</v>
      </c>
      <c r="D301" s="8" t="n"/>
      <c r="E301" s="11" t="inlineStr">
        <is>
          <t>ندارد</t>
        </is>
      </c>
      <c r="F301" s="11" t="inlineStr">
        <is>
          <t>-</t>
        </is>
      </c>
      <c r="G301" s="10" t="n">
        <v>3990</v>
      </c>
      <c r="H301" s="8" t="n"/>
      <c r="I301" s="10">
        <f>SUMIF('جزئیات BOM'!$G$4:$G$607,A301,'جزئیات BOM'!$S$4:$S$607)</f>
        <v>1500</v>
      </c>
      <c r="J301" s="10">
        <f>SUMIF('جزئیات BOM'!$G$4:$G$607,A301,'جزئیات BOM'!$T$4:$T$607)</f>
        <v>0</v>
      </c>
      <c r="K301" s="10">
        <f>ROUND(G301-I301,10)</f>
        <v>2490</v>
      </c>
      <c r="L301" s="10">
        <f>ROUNDUP(MAX(0,ROUND(J301-G301,10)),0)</f>
        <v>0</v>
      </c>
      <c r="M301" s="10" t="n">
        <v>0</v>
      </c>
      <c r="N301" s="11" t="inlineStr">
        <is>
          <t>ثبت عددی</t>
        </is>
      </c>
      <c r="O301" s="11" t="inlineStr">
        <is>
          <t>عدد(شمارشی)</t>
        </is>
      </c>
      <c r="P301" s="11" t="inlineStr"/>
      <c r="Q301" s="13" t="n"/>
      <c r="R301" s="13" t="n"/>
    </row>
    <row r="302" ht="20" customHeight="1">
      <c r="A302" s="5" t="n">
        <v>1111082</v>
      </c>
      <c r="B302" s="6" t="inlineStr">
        <is>
          <t>IC VIPER22ASTR-E</t>
        </is>
      </c>
      <c r="C302" s="7">
        <f>ROUNDUP(MAX(0,ROUND(I302+J302-G302,10)),0)</f>
        <v>0</v>
      </c>
      <c r="D302" s="8" t="n"/>
      <c r="E302" s="6" t="inlineStr">
        <is>
          <t>ندارد</t>
        </is>
      </c>
      <c r="F302" s="6" t="inlineStr">
        <is>
          <t>-</t>
        </is>
      </c>
      <c r="G302" s="5" t="n">
        <v>5700</v>
      </c>
      <c r="H302" s="8" t="n"/>
      <c r="I302" s="5">
        <f>SUMIF('جزئیات BOM'!$G$4:$G$607,A302,'جزئیات BOM'!$S$4:$S$607)</f>
        <v>1500</v>
      </c>
      <c r="J302" s="5">
        <f>SUMIF('جزئیات BOM'!$G$4:$G$607,A302,'جزئیات BOM'!$T$4:$T$607)</f>
        <v>0</v>
      </c>
      <c r="K302" s="5">
        <f>ROUND(G302-I302,10)</f>
        <v>4200</v>
      </c>
      <c r="L302" s="5">
        <f>ROUNDUP(MAX(0,ROUND(J302-G302,10)),0)</f>
        <v>0</v>
      </c>
      <c r="M302" s="5" t="n">
        <v>0</v>
      </c>
      <c r="N302" s="6" t="inlineStr">
        <is>
          <t>ثبت عددی</t>
        </is>
      </c>
      <c r="O302" s="6" t="inlineStr">
        <is>
          <t>عدد(شمارشی)</t>
        </is>
      </c>
      <c r="P302" s="6" t="inlineStr"/>
      <c r="Q302" s="9" t="n"/>
      <c r="R302" s="9" t="n"/>
    </row>
    <row r="303" ht="20" customHeight="1">
      <c r="A303" s="10" t="n">
        <v>1111083</v>
      </c>
      <c r="B303" s="11" t="inlineStr">
        <is>
          <t>IC Regulator L78M05ACDT</t>
        </is>
      </c>
      <c r="C303" s="12">
        <f>ROUNDUP(MAX(0,ROUND(I303+J303-G303,10)),0)</f>
        <v>0</v>
      </c>
      <c r="D303" s="8" t="n"/>
      <c r="E303" s="11" t="inlineStr">
        <is>
          <t>ندارد</t>
        </is>
      </c>
      <c r="F303" s="11" t="inlineStr">
        <is>
          <t>-</t>
        </is>
      </c>
      <c r="G303" s="10" t="n">
        <v>5644</v>
      </c>
      <c r="H303" s="8" t="n"/>
      <c r="I303" s="10">
        <f>SUMIF('جزئیات BOM'!$G$4:$G$607,A303,'جزئیات BOM'!$S$4:$S$607)</f>
        <v>1500</v>
      </c>
      <c r="J303" s="10">
        <f>SUMIF('جزئیات BOM'!$G$4:$G$607,A303,'جزئیات BOM'!$T$4:$T$607)</f>
        <v>0</v>
      </c>
      <c r="K303" s="10">
        <f>ROUND(G303-I303,10)</f>
        <v>4144</v>
      </c>
      <c r="L303" s="10">
        <f>ROUNDUP(MAX(0,ROUND(J303-G303,10)),0)</f>
        <v>0</v>
      </c>
      <c r="M303" s="10" t="n">
        <v>0</v>
      </c>
      <c r="N303" s="11" t="inlineStr">
        <is>
          <t>ثبت عددی</t>
        </is>
      </c>
      <c r="O303" s="11" t="inlineStr">
        <is>
          <t>عدد(شمارشی)</t>
        </is>
      </c>
      <c r="P303" s="11" t="inlineStr"/>
      <c r="Q303" s="13" t="n"/>
      <c r="R303" s="13" t="n"/>
    </row>
    <row r="304" ht="20" customHeight="1">
      <c r="A304" s="5" t="n">
        <v>1111084</v>
      </c>
      <c r="B304" s="6" t="inlineStr">
        <is>
          <t>IC 1ED44175</t>
        </is>
      </c>
      <c r="C304" s="7">
        <f>ROUNDUP(MAX(0,ROUND(I304+J304-G304,10)),0)</f>
        <v>0</v>
      </c>
      <c r="D304" s="8" t="n"/>
      <c r="E304" s="6" t="inlineStr">
        <is>
          <t>ندارد</t>
        </is>
      </c>
      <c r="F304" s="6" t="inlineStr">
        <is>
          <t>-</t>
        </is>
      </c>
      <c r="G304" s="5" t="n">
        <v>4182</v>
      </c>
      <c r="H304" s="8" t="n"/>
      <c r="I304" s="5">
        <f>SUMIF('جزئیات BOM'!$G$4:$G$607,A304,'جزئیات BOM'!$S$4:$S$607)</f>
        <v>1500</v>
      </c>
      <c r="J304" s="5">
        <f>SUMIF('جزئیات BOM'!$G$4:$G$607,A304,'جزئیات BOM'!$T$4:$T$607)</f>
        <v>0</v>
      </c>
      <c r="K304" s="5">
        <f>ROUND(G304-I304,10)</f>
        <v>2682</v>
      </c>
      <c r="L304" s="5">
        <f>ROUNDUP(MAX(0,ROUND(J304-G304,10)),0)</f>
        <v>0</v>
      </c>
      <c r="M304" s="5" t="n">
        <v>0</v>
      </c>
      <c r="N304" s="6" t="inlineStr">
        <is>
          <t>ثبت عددی</t>
        </is>
      </c>
      <c r="O304" s="6" t="inlineStr">
        <is>
          <t>عدد(شمارشی)</t>
        </is>
      </c>
      <c r="P304" s="6" t="inlineStr"/>
      <c r="Q304" s="9" t="n"/>
      <c r="R304" s="9" t="n"/>
    </row>
    <row r="305" ht="20" customHeight="1">
      <c r="A305" s="10" t="n">
        <v>1111085</v>
      </c>
      <c r="B305" s="11" t="inlineStr">
        <is>
          <t>IC SGM8968-1XN5G</t>
        </is>
      </c>
      <c r="C305" s="12">
        <f>ROUNDUP(MAX(0,ROUND(I305+J305-G305,10)),0)</f>
        <v>0</v>
      </c>
      <c r="D305" s="8" t="n"/>
      <c r="E305" s="11" t="inlineStr">
        <is>
          <t>ندارد</t>
        </is>
      </c>
      <c r="F305" s="11" t="inlineStr">
        <is>
          <t>-</t>
        </is>
      </c>
      <c r="G305" s="10" t="n">
        <v>4157</v>
      </c>
      <c r="H305" s="8" t="n"/>
      <c r="I305" s="10">
        <f>SUMIF('جزئیات BOM'!$G$4:$G$607,A305,'جزئیات BOM'!$S$4:$S$607)</f>
        <v>1500</v>
      </c>
      <c r="J305" s="10">
        <f>SUMIF('جزئیات BOM'!$G$4:$G$607,A305,'جزئیات BOM'!$T$4:$T$607)</f>
        <v>0</v>
      </c>
      <c r="K305" s="10">
        <f>ROUND(G305-I305,10)</f>
        <v>2657</v>
      </c>
      <c r="L305" s="10">
        <f>ROUNDUP(MAX(0,ROUND(J305-G305,10)),0)</f>
        <v>0</v>
      </c>
      <c r="M305" s="10" t="n">
        <v>0</v>
      </c>
      <c r="N305" s="11" t="inlineStr">
        <is>
          <t>ثبت عددی</t>
        </is>
      </c>
      <c r="O305" s="11" t="inlineStr">
        <is>
          <t>عدد(شمارشی)</t>
        </is>
      </c>
      <c r="P305" s="11" t="inlineStr"/>
      <c r="Q305" s="13" t="n"/>
      <c r="R305" s="13" t="n"/>
    </row>
    <row r="306" ht="20" customHeight="1">
      <c r="A306" s="5" t="n">
        <v>1111086</v>
      </c>
      <c r="B306" s="6" t="inlineStr">
        <is>
          <t>Phototransistor EL817SC</t>
        </is>
      </c>
      <c r="C306" s="7">
        <f>ROUNDUP(MAX(0,ROUND(I306+J306-G306,10)),0)</f>
        <v>0</v>
      </c>
      <c r="D306" s="8" t="n"/>
      <c r="E306" s="6" t="inlineStr">
        <is>
          <t>ندارد</t>
        </is>
      </c>
      <c r="F306" s="6" t="inlineStr">
        <is>
          <t>-</t>
        </is>
      </c>
      <c r="G306" s="5" t="n">
        <v>8402</v>
      </c>
      <c r="H306" s="8" t="n"/>
      <c r="I306" s="5">
        <f>SUMIF('جزئیات BOM'!$G$4:$G$607,A306,'جزئیات BOM'!$S$4:$S$607)</f>
        <v>3000</v>
      </c>
      <c r="J306" s="5">
        <f>SUMIF('جزئیات BOM'!$G$4:$G$607,A306,'جزئیات BOM'!$T$4:$T$607)</f>
        <v>0</v>
      </c>
      <c r="K306" s="5">
        <f>ROUND(G306-I306,10)</f>
        <v>5402</v>
      </c>
      <c r="L306" s="5">
        <f>ROUNDUP(MAX(0,ROUND(J306-G306,10)),0)</f>
        <v>0</v>
      </c>
      <c r="M306" s="5" t="n">
        <v>0</v>
      </c>
      <c r="N306" s="6" t="inlineStr">
        <is>
          <t>ثبت عددی</t>
        </is>
      </c>
      <c r="O306" s="6" t="inlineStr">
        <is>
          <t>عدد(شمارشی)</t>
        </is>
      </c>
      <c r="P306" s="6" t="inlineStr"/>
      <c r="Q306" s="9" t="n"/>
      <c r="R306" s="9" t="n"/>
    </row>
    <row r="307" ht="20" customHeight="1">
      <c r="A307" s="10" t="n">
        <v>1111087</v>
      </c>
      <c r="B307" s="11" t="inlineStr">
        <is>
          <t>IC FAN73893MX</t>
        </is>
      </c>
      <c r="C307" s="12">
        <f>ROUNDUP(MAX(0,ROUND(I307+J307-G307,10)),0)</f>
        <v>0</v>
      </c>
      <c r="D307" s="8" t="n"/>
      <c r="E307" s="11" t="inlineStr">
        <is>
          <t>ندارد</t>
        </is>
      </c>
      <c r="F307" s="11" t="inlineStr">
        <is>
          <t>-</t>
        </is>
      </c>
      <c r="G307" s="10" t="n">
        <v>5176</v>
      </c>
      <c r="H307" s="8" t="n"/>
      <c r="I307" s="10">
        <f>SUMIF('جزئیات BOM'!$G$4:$G$607,A307,'جزئیات BOM'!$S$4:$S$607)</f>
        <v>1500</v>
      </c>
      <c r="J307" s="10">
        <f>SUMIF('جزئیات BOM'!$G$4:$G$607,A307,'جزئیات BOM'!$T$4:$T$607)</f>
        <v>0</v>
      </c>
      <c r="K307" s="10">
        <f>ROUND(G307-I307,10)</f>
        <v>3676</v>
      </c>
      <c r="L307" s="10">
        <f>ROUNDUP(MAX(0,ROUND(J307-G307,10)),0)</f>
        <v>0</v>
      </c>
      <c r="M307" s="10" t="n">
        <v>0</v>
      </c>
      <c r="N307" s="11" t="inlineStr">
        <is>
          <t>ثبت عددی</t>
        </is>
      </c>
      <c r="O307" s="11" t="inlineStr">
        <is>
          <t>عدد(شمارشی)</t>
        </is>
      </c>
      <c r="P307" s="11" t="inlineStr"/>
      <c r="Q307" s="13" t="n"/>
      <c r="R307" s="13" t="n"/>
    </row>
    <row r="308" ht="20" customHeight="1">
      <c r="A308" s="5" t="n">
        <v>1111088</v>
      </c>
      <c r="B308" s="6" t="inlineStr">
        <is>
          <t>IC Microcontroller IMC102TF</t>
        </is>
      </c>
      <c r="C308" s="7">
        <f>ROUNDUP(MAX(0,ROUND(I308+J308-G308,10)),0)</f>
        <v>0</v>
      </c>
      <c r="D308" s="8" t="n"/>
      <c r="E308" s="6" t="inlineStr">
        <is>
          <t>ندارد</t>
        </is>
      </c>
      <c r="F308" s="6" t="inlineStr">
        <is>
          <t>-</t>
        </is>
      </c>
      <c r="G308" s="5" t="n">
        <v>4269</v>
      </c>
      <c r="H308" s="8" t="n"/>
      <c r="I308" s="5">
        <f>SUMIF('جزئیات BOM'!$G$4:$G$607,A308,'جزئیات BOM'!$S$4:$S$607)</f>
        <v>1500</v>
      </c>
      <c r="J308" s="5">
        <f>SUMIF('جزئیات BOM'!$G$4:$G$607,A308,'جزئیات BOM'!$T$4:$T$607)</f>
        <v>0</v>
      </c>
      <c r="K308" s="5">
        <f>ROUND(G308-I308,10)</f>
        <v>2769</v>
      </c>
      <c r="L308" s="5">
        <f>ROUNDUP(MAX(0,ROUND(J308-G308,10)),0)</f>
        <v>0</v>
      </c>
      <c r="M308" s="5" t="n">
        <v>0</v>
      </c>
      <c r="N308" s="6" t="inlineStr">
        <is>
          <t>ثبت عددی</t>
        </is>
      </c>
      <c r="O308" s="6" t="inlineStr">
        <is>
          <t>عدد(شمارشی)</t>
        </is>
      </c>
      <c r="P308" s="6" t="inlineStr"/>
      <c r="Q308" s="9" t="n"/>
      <c r="R308" s="9" t="n"/>
    </row>
    <row r="309" ht="20" customHeight="1">
      <c r="A309" s="10" t="n">
        <v>1111090</v>
      </c>
      <c r="B309" s="11" t="inlineStr">
        <is>
          <t>IC ULN2003 FAN DRIVER</t>
        </is>
      </c>
      <c r="C309" s="12">
        <f>ROUNDUP(MAX(0,ROUND(I309+J309-G309,10)),0)</f>
        <v>0</v>
      </c>
      <c r="D309" s="8" t="n"/>
      <c r="E309" s="11" t="inlineStr">
        <is>
          <t>ندارد</t>
        </is>
      </c>
      <c r="F309" s="11" t="inlineStr">
        <is>
          <t>-</t>
        </is>
      </c>
      <c r="G309" s="10" t="n">
        <v>5208</v>
      </c>
      <c r="H309" s="8" t="n"/>
      <c r="I309" s="10">
        <f>SUMIF('جزئیات BOM'!$G$4:$G$607,A309,'جزئیات BOM'!$S$4:$S$607)</f>
        <v>1500</v>
      </c>
      <c r="J309" s="10">
        <f>SUMIF('جزئیات BOM'!$G$4:$G$607,A309,'جزئیات BOM'!$T$4:$T$607)</f>
        <v>0</v>
      </c>
      <c r="K309" s="10">
        <f>ROUND(G309-I309,10)</f>
        <v>3708</v>
      </c>
      <c r="L309" s="10">
        <f>ROUNDUP(MAX(0,ROUND(J309-G309,10)),0)</f>
        <v>0</v>
      </c>
      <c r="M309" s="10" t="n">
        <v>0</v>
      </c>
      <c r="N309" s="11" t="inlineStr">
        <is>
          <t>ثبت عددی</t>
        </is>
      </c>
      <c r="O309" s="11" t="inlineStr">
        <is>
          <t>عدد(شمارشی)</t>
        </is>
      </c>
      <c r="P309" s="11" t="inlineStr"/>
      <c r="Q309" s="13" t="n"/>
      <c r="R309" s="13" t="n"/>
    </row>
    <row r="310" ht="20" customHeight="1">
      <c r="A310" s="5" t="n">
        <v>1111095</v>
      </c>
      <c r="B310" s="6" t="inlineStr">
        <is>
          <t>IC SBC PMIC + Interface TLE9263BQXV33</t>
        </is>
      </c>
      <c r="C310" s="7">
        <f>ROUNDUP(MAX(0,ROUND(I310+J310-G310,10)),0)</f>
        <v>0</v>
      </c>
      <c r="D310" s="8" t="n"/>
      <c r="E310" s="6" t="inlineStr">
        <is>
          <t>ندارد</t>
        </is>
      </c>
      <c r="F310" s="6" t="inlineStr">
        <is>
          <t>-</t>
        </is>
      </c>
      <c r="G310" s="5" t="n">
        <v>3640</v>
      </c>
      <c r="H310" s="8" t="n"/>
      <c r="I310" s="5">
        <f>SUMIF('جزئیات BOM'!$G$4:$G$607,A310,'جزئیات BOM'!$S$4:$S$607)</f>
        <v>1400</v>
      </c>
      <c r="J310" s="5">
        <f>SUMIF('جزئیات BOM'!$G$4:$G$607,A310,'جزئیات BOM'!$T$4:$T$607)</f>
        <v>1200</v>
      </c>
      <c r="K310" s="5">
        <f>ROUND(G310-I310,10)</f>
        <v>2240</v>
      </c>
      <c r="L310" s="5">
        <f>ROUNDUP(MAX(0,ROUND(J310-G310,10)),0)</f>
        <v>0</v>
      </c>
      <c r="M310" s="5" t="n">
        <v>0</v>
      </c>
      <c r="N310" s="6" t="inlineStr">
        <is>
          <t>ثبت عددی</t>
        </is>
      </c>
      <c r="O310" s="6" t="inlineStr">
        <is>
          <t>عدد(شمارشی)</t>
        </is>
      </c>
      <c r="P310" s="6" t="inlineStr"/>
      <c r="Q310" s="9" t="n"/>
      <c r="R310" s="9" t="n"/>
    </row>
    <row r="311" ht="20" customHeight="1">
      <c r="A311" s="10" t="n">
        <v>1111096</v>
      </c>
      <c r="B311" s="11" t="inlineStr">
        <is>
          <t>Crystal,20.000MHz,20PPM 3225</t>
        </is>
      </c>
      <c r="C311" s="12">
        <f>ROUNDUP(MAX(0,ROUND(I311+J311-G311,10)),0)</f>
        <v>0</v>
      </c>
      <c r="D311" s="8" t="n"/>
      <c r="E311" s="11" t="inlineStr">
        <is>
          <t>ندارد</t>
        </is>
      </c>
      <c r="F311" s="11" t="inlineStr">
        <is>
          <t>-</t>
        </is>
      </c>
      <c r="G311" s="10" t="n">
        <v>4383</v>
      </c>
      <c r="H311" s="8" t="n"/>
      <c r="I311" s="10">
        <f>SUMIF('جزئیات BOM'!$G$4:$G$607,A311,'جزئیات BOM'!$S$4:$S$607)</f>
        <v>1400</v>
      </c>
      <c r="J311" s="10">
        <f>SUMIF('جزئیات BOM'!$G$4:$G$607,A311,'جزئیات BOM'!$T$4:$T$607)</f>
        <v>1200</v>
      </c>
      <c r="K311" s="10">
        <f>ROUND(G311-I311,10)</f>
        <v>2983</v>
      </c>
      <c r="L311" s="10">
        <f>ROUNDUP(MAX(0,ROUND(J311-G311,10)),0)</f>
        <v>0</v>
      </c>
      <c r="M311" s="10" t="n">
        <v>0</v>
      </c>
      <c r="N311" s="11" t="inlineStr">
        <is>
          <t>ثبت عددی</t>
        </is>
      </c>
      <c r="O311" s="11" t="inlineStr">
        <is>
          <t>عدد(شمارشی)</t>
        </is>
      </c>
      <c r="P311" s="11" t="inlineStr"/>
      <c r="Q311" s="13" t="n"/>
      <c r="R311" s="13" t="n"/>
    </row>
    <row r="312" ht="20" customHeight="1">
      <c r="A312" s="5" t="n">
        <v>1111097</v>
      </c>
      <c r="B312" s="6" t="inlineStr">
        <is>
          <t>IC CAN Transceiver TJA1055T/3</t>
        </is>
      </c>
      <c r="C312" s="7">
        <f>ROUNDUP(MAX(0,ROUND(I312+J312-G312,10)),0)</f>
        <v>0</v>
      </c>
      <c r="D312" s="8" t="n"/>
      <c r="E312" s="6" t="inlineStr">
        <is>
          <t>ندارد</t>
        </is>
      </c>
      <c r="F312" s="6" t="inlineStr">
        <is>
          <t>-</t>
        </is>
      </c>
      <c r="G312" s="5" t="n">
        <v>3321</v>
      </c>
      <c r="H312" s="8" t="n"/>
      <c r="I312" s="5">
        <f>SUMIF('جزئیات BOM'!$G$4:$G$607,A312,'جزئیات BOM'!$S$4:$S$607)</f>
        <v>1750</v>
      </c>
      <c r="J312" s="5">
        <f>SUMIF('جزئیات BOM'!$G$4:$G$607,A312,'جزئیات BOM'!$T$4:$T$607)</f>
        <v>1200</v>
      </c>
      <c r="K312" s="5">
        <f>ROUND(G312-I312,10)</f>
        <v>1571</v>
      </c>
      <c r="L312" s="5">
        <f>ROUNDUP(MAX(0,ROUND(J312-G312,10)),0)</f>
        <v>0</v>
      </c>
      <c r="M312" s="5" t="n">
        <v>0</v>
      </c>
      <c r="N312" s="6" t="inlineStr">
        <is>
          <t>ثبت عددی</t>
        </is>
      </c>
      <c r="O312" s="6" t="inlineStr">
        <is>
          <t>عدد(شمارشی)</t>
        </is>
      </c>
      <c r="P312" s="6" t="inlineStr"/>
      <c r="Q312" s="9" t="n"/>
      <c r="R312" s="9" t="n"/>
    </row>
    <row r="313" ht="20" customHeight="1">
      <c r="A313" s="10" t="n">
        <v>1111807</v>
      </c>
      <c r="B313" s="11" t="inlineStr">
        <is>
          <t>Inductor 15NH,5%</t>
        </is>
      </c>
      <c r="C313" s="12">
        <f>ROUNDUP(MAX(0,ROUND(I313+J313-G313,10)),0)</f>
        <v>0</v>
      </c>
      <c r="D313" s="8" t="n"/>
      <c r="E313" s="11" t="inlineStr">
        <is>
          <t>ندارد</t>
        </is>
      </c>
      <c r="F313" s="11" t="inlineStr">
        <is>
          <t>-</t>
        </is>
      </c>
      <c r="G313" s="10" t="n">
        <v>9024</v>
      </c>
      <c r="H313" s="8" t="n"/>
      <c r="I313" s="10">
        <f>SUMIF('جزئیات BOM'!$G$4:$G$607,A313,'جزئیات BOM'!$S$4:$S$607)</f>
        <v>2300</v>
      </c>
      <c r="J313" s="10">
        <f>SUMIF('جزئیات BOM'!$G$4:$G$607,A313,'جزئیات BOM'!$T$4:$T$607)</f>
        <v>4000</v>
      </c>
      <c r="K313" s="10">
        <f>ROUND(G313-I313,10)</f>
        <v>6724</v>
      </c>
      <c r="L313" s="10">
        <f>ROUNDUP(MAX(0,ROUND(J313-G313,10)),0)</f>
        <v>0</v>
      </c>
      <c r="M313" s="10" t="n">
        <v>0</v>
      </c>
      <c r="N313" s="11" t="inlineStr">
        <is>
          <t>ثبت عددی</t>
        </is>
      </c>
      <c r="O313" s="11" t="inlineStr">
        <is>
          <t>عدد</t>
        </is>
      </c>
      <c r="P313" s="11" t="inlineStr"/>
      <c r="Q313" s="13" t="n"/>
      <c r="R313" s="13" t="n"/>
    </row>
    <row r="314" ht="20" customHeight="1">
      <c r="A314" s="5" t="n">
        <v>1111808</v>
      </c>
      <c r="B314" s="6" t="inlineStr">
        <is>
          <t>Inductor 43NH,5%</t>
        </is>
      </c>
      <c r="C314" s="7">
        <f>ROUNDUP(MAX(0,ROUND(I314+J314-G314,10)),0)</f>
        <v>0</v>
      </c>
      <c r="D314" s="8" t="n"/>
      <c r="E314" s="6" t="inlineStr">
        <is>
          <t>ندارد</t>
        </is>
      </c>
      <c r="F314" s="6" t="inlineStr">
        <is>
          <t>-</t>
        </is>
      </c>
      <c r="G314" s="5" t="n">
        <v>8367</v>
      </c>
      <c r="H314" s="8" t="n"/>
      <c r="I314" s="5">
        <f>SUMIF('جزئیات BOM'!$G$4:$G$607,A314,'جزئیات BOM'!$S$4:$S$607)</f>
        <v>2300</v>
      </c>
      <c r="J314" s="5">
        <f>SUMIF('جزئیات BOM'!$G$4:$G$607,A314,'جزئیات BOM'!$T$4:$T$607)</f>
        <v>4000</v>
      </c>
      <c r="K314" s="5">
        <f>ROUND(G314-I314,10)</f>
        <v>6067</v>
      </c>
      <c r="L314" s="5">
        <f>ROUNDUP(MAX(0,ROUND(J314-G314,10)),0)</f>
        <v>0</v>
      </c>
      <c r="M314" s="5" t="n">
        <v>0</v>
      </c>
      <c r="N314" s="6" t="inlineStr">
        <is>
          <t>ثبت عددی</t>
        </is>
      </c>
      <c r="O314" s="6" t="inlineStr">
        <is>
          <t>عدد</t>
        </is>
      </c>
      <c r="P314" s="6" t="inlineStr"/>
      <c r="Q314" s="9" t="n"/>
      <c r="R314" s="9" t="n"/>
    </row>
    <row r="315" ht="20" customHeight="1">
      <c r="A315" s="10" t="n">
        <v>1111832</v>
      </c>
      <c r="B315" s="11" t="inlineStr">
        <is>
          <t>Inductor 1.4Ω,Ferrite Bead,1 Line,1.8KΩ@100MHz,0.2A</t>
        </is>
      </c>
      <c r="C315" s="12">
        <f>ROUNDUP(MAX(0,ROUND(I315+J315-G315,10)),0)</f>
        <v>0</v>
      </c>
      <c r="D315" s="8" t="n"/>
      <c r="E315" s="11" t="inlineStr">
        <is>
          <t>ندارد</t>
        </is>
      </c>
      <c r="F315" s="11" t="inlineStr">
        <is>
          <t>-</t>
        </is>
      </c>
      <c r="G315" s="10" t="n">
        <v>3283</v>
      </c>
      <c r="H315" s="8" t="n"/>
      <c r="I315" s="10">
        <f>SUMIF('جزئیات BOM'!$G$4:$G$607,A315,'جزئیات BOM'!$S$4:$S$607)</f>
        <v>1750</v>
      </c>
      <c r="J315" s="10">
        <f>SUMIF('جزئیات BOM'!$G$4:$G$607,A315,'جزئیات BOM'!$T$4:$T$607)</f>
        <v>1200</v>
      </c>
      <c r="K315" s="10">
        <f>ROUND(G315-I315,10)</f>
        <v>1533</v>
      </c>
      <c r="L315" s="10">
        <f>ROUNDUP(MAX(0,ROUND(J315-G315,10)),0)</f>
        <v>0</v>
      </c>
      <c r="M315" s="10" t="n">
        <v>0</v>
      </c>
      <c r="N315" s="11" t="inlineStr">
        <is>
          <t>ثبت عددی</t>
        </is>
      </c>
      <c r="O315" s="11" t="inlineStr">
        <is>
          <t>عدد(شمارشی)</t>
        </is>
      </c>
      <c r="P315" s="11" t="inlineStr"/>
      <c r="Q315" s="13" t="n"/>
      <c r="R315" s="13" t="n"/>
    </row>
    <row r="316" ht="20" customHeight="1">
      <c r="A316" s="5" t="n">
        <v>1113102</v>
      </c>
      <c r="B316" s="6" t="inlineStr">
        <is>
          <t>Ceramic Filters 330Ohm</t>
        </is>
      </c>
      <c r="C316" s="7">
        <f>ROUNDUP(MAX(0,ROUND(I316+J316-G316,10)),0)</f>
        <v>0</v>
      </c>
      <c r="D316" s="8" t="n"/>
      <c r="E316" s="6" t="inlineStr">
        <is>
          <t>ندارد</t>
        </is>
      </c>
      <c r="F316" s="6" t="inlineStr">
        <is>
          <t>-</t>
        </is>
      </c>
      <c r="G316" s="5" t="n">
        <v>7396</v>
      </c>
      <c r="H316" s="8" t="n"/>
      <c r="I316" s="5">
        <f>SUMIF('جزئیات BOM'!$G$4:$G$607,A316,'جزئیات BOM'!$S$4:$S$607)</f>
        <v>2300</v>
      </c>
      <c r="J316" s="5">
        <f>SUMIF('جزئیات BOM'!$G$4:$G$607,A316,'جزئیات BOM'!$T$4:$T$607)</f>
        <v>4000</v>
      </c>
      <c r="K316" s="5">
        <f>ROUND(G316-I316,10)</f>
        <v>5096</v>
      </c>
      <c r="L316" s="5">
        <f>ROUNDUP(MAX(0,ROUND(J316-G316,10)),0)</f>
        <v>0</v>
      </c>
      <c r="M316" s="5" t="n">
        <v>0</v>
      </c>
      <c r="N316" s="6" t="inlineStr">
        <is>
          <t>ثبت عددی</t>
        </is>
      </c>
      <c r="O316" s="6" t="inlineStr">
        <is>
          <t>عدد</t>
        </is>
      </c>
      <c r="P316" s="6" t="inlineStr"/>
      <c r="Q316" s="9" t="n"/>
      <c r="R316" s="9" t="n"/>
    </row>
  </sheetData>
  <autoFilter ref="A3:R316"/>
  <mergeCells count="2">
    <mergeCell ref="A2:R2"/>
    <mergeCell ref="A1:R1"/>
  </mergeCells>
  <conditionalFormatting sqref="C4:C316">
    <cfRule type="cellIs" priority="1" operator="greaterThan" dxfId="0">
      <formula>0</formula>
    </cfRule>
  </conditionalFormatting>
  <pageMargins left="0.75" right="0.75" top="1" bottom="1" header="0.5" footer="0.5"/>
  <pageSetup fitToWidth="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fitToPage="1"/>
  </sheetPr>
  <dimension ref="A1:G16"/>
  <sheetViews>
    <sheetView rightToLeft="1" workbookViewId="0">
      <pane xSplit="2" ySplit="3" topLeftCell="C4" activePane="bottomRight" state="frozen"/>
      <selection pane="topRight"/>
      <selection pane="bottomLeft"/>
      <selection pane="bottomRight" activeCell="A1" sqref="A1"/>
    </sheetView>
  </sheetViews>
  <sheetFormatPr baseColWidth="8" defaultRowHeight="15"/>
  <cols>
    <col width="17" customWidth="1" min="1" max="1"/>
    <col width="48" customWidth="1" min="2" max="2"/>
    <col width="25" customWidth="1" min="3" max="3"/>
    <col width="23" customWidth="1" min="4" max="4"/>
    <col width="23" customWidth="1" min="5" max="5"/>
    <col width="17" customWidth="1" min="6" max="6"/>
    <col width="20" customWidth="1" min="7" max="7"/>
  </cols>
  <sheetData>
    <row r="1" ht="30" customHeight="1">
      <c r="A1" s="1" t="inlineStr">
        <is>
          <t>ورودی برنامه به تفکیک محصول و BOM</t>
        </is>
      </c>
    </row>
    <row r="2" ht="30" customHeight="1">
      <c r="A2" s="2" t="inlineStr">
        <is>
          <t>برای آزمایش یا اصلاح محاسبه، فقط تعداد برنامه‌ها را در ستون‌های آبی ویرایش کنید. نسخه BOM به‌طور خودکار عوض نمی‌شود.</t>
        </is>
      </c>
    </row>
    <row r="3" ht="40" customHeight="1">
      <c r="A3" s="3" t="inlineStr">
        <is>
          <t>کد محصول</t>
        </is>
      </c>
      <c r="B3" s="3" t="inlineStr">
        <is>
          <t>نام محصول</t>
        </is>
      </c>
      <c r="C3" s="3" t="inlineStr">
        <is>
          <t>شماره BOM انتخاب‌شده</t>
        </is>
      </c>
      <c r="D3" s="3" t="inlineStr">
        <is>
          <t>تعداد برنامه سه‌روز</t>
        </is>
      </c>
      <c r="E3" s="3" t="inlineStr">
        <is>
          <t>تعداد برنامه بعدی</t>
        </is>
      </c>
      <c r="F3" s="3" t="inlineStr">
        <is>
          <t>شروع اعتبار</t>
        </is>
      </c>
      <c r="G3" s="3" t="inlineStr">
        <is>
          <t>تاریخ پایان اعتبار</t>
        </is>
      </c>
    </row>
    <row r="4" ht="20" customHeight="1">
      <c r="A4" s="5" t="n">
        <v>1200011</v>
      </c>
      <c r="B4" s="6" t="inlineStr">
        <is>
          <t>ماژول RF Module_T312  کنترل ماشینی شده</t>
        </is>
      </c>
      <c r="C4" s="6" t="inlineStr">
        <is>
          <t>12000110104</t>
        </is>
      </c>
      <c r="D4" s="15" t="n">
        <v>2300</v>
      </c>
      <c r="E4" s="15" t="n">
        <v>4000</v>
      </c>
      <c r="F4" s="6" t="inlineStr">
        <is>
          <t>1405/04/29</t>
        </is>
      </c>
      <c r="G4" s="9" t="n"/>
    </row>
    <row r="5" ht="20" customHeight="1">
      <c r="A5" s="10" t="n">
        <v>1200151</v>
      </c>
      <c r="B5" s="11" t="inlineStr">
        <is>
          <t>درایو کولر BLDC کنترل ماشینی شده</t>
        </is>
      </c>
      <c r="C5" s="11" t="inlineStr">
        <is>
          <t>12001510106</t>
        </is>
      </c>
      <c r="D5" s="15" t="n">
        <v>1500</v>
      </c>
      <c r="E5" s="15" t="n">
        <v>0</v>
      </c>
      <c r="F5" s="11" t="inlineStr">
        <is>
          <t>1404/05/20</t>
        </is>
      </c>
      <c r="G5" s="13" t="n"/>
    </row>
    <row r="6" ht="20" customHeight="1">
      <c r="A6" s="5" t="n">
        <v>1200932</v>
      </c>
      <c r="B6" s="6" t="inlineStr">
        <is>
          <t>جلوآمپر کنترل ماشینی شده ICN SOREN یکسان سازی</t>
        </is>
      </c>
      <c r="C6" s="6" t="inlineStr">
        <is>
          <t>12009320110</t>
        </is>
      </c>
      <c r="D6" s="15" t="n">
        <v>650</v>
      </c>
      <c r="E6" s="15" t="n">
        <v>800</v>
      </c>
      <c r="F6" s="6" t="inlineStr">
        <is>
          <t>1405/06/23</t>
        </is>
      </c>
      <c r="G6" s="9" t="n"/>
    </row>
    <row r="7" ht="20" customHeight="1">
      <c r="A7" s="10" t="n">
        <v>1201060</v>
      </c>
      <c r="B7" s="11" t="inlineStr">
        <is>
          <t>برد الکترونیکی ایموبلایزر EIM -مونتاژ ماشینی شده</t>
        </is>
      </c>
      <c r="C7" s="11" t="inlineStr">
        <is>
          <t>12010600100-01</t>
        </is>
      </c>
      <c r="D7" s="15" t="n">
        <v>2450</v>
      </c>
      <c r="E7" s="15" t="n">
        <v>2400</v>
      </c>
      <c r="F7" s="11" t="inlineStr">
        <is>
          <t>1405/05/10</t>
        </is>
      </c>
      <c r="G7" s="13" t="n"/>
    </row>
    <row r="8" ht="20" customHeight="1">
      <c r="A8" s="5" t="n">
        <v>1201605</v>
      </c>
      <c r="B8" s="6" t="inlineStr">
        <is>
          <t>جعبه الکترونیکی مونتاژ ماشینی شده NBCM_DENA_SBR-(BOT)</t>
        </is>
      </c>
      <c r="C8" s="6" t="inlineStr">
        <is>
          <t>13416020184</t>
        </is>
      </c>
      <c r="D8" s="15" t="n">
        <v>1460</v>
      </c>
      <c r="E8" s="15" t="n">
        <v>1200</v>
      </c>
      <c r="F8" s="6" t="inlineStr">
        <is>
          <t>1405/03/05</t>
        </is>
      </c>
      <c r="G8" s="9" t="n"/>
    </row>
    <row r="9" ht="20" customHeight="1">
      <c r="A9" s="10" t="n">
        <v>1201643</v>
      </c>
      <c r="B9" s="11" t="inlineStr">
        <is>
          <t>جعبه الکترونیکی کنترل ماشینی شده NBCM_DENA_SBR-TOP</t>
        </is>
      </c>
      <c r="C9" s="11" t="inlineStr">
        <is>
          <t>13416020183</t>
        </is>
      </c>
      <c r="D9" s="15" t="n">
        <v>1460</v>
      </c>
      <c r="E9" s="15" t="n">
        <v>1200</v>
      </c>
      <c r="F9" s="11" t="inlineStr">
        <is>
          <t>1405/03/05</t>
        </is>
      </c>
      <c r="G9" s="13" t="n"/>
    </row>
    <row r="10" ht="20" customHeight="1">
      <c r="A10" s="5" t="n">
        <v>1201653</v>
      </c>
      <c r="B10" s="6" t="inlineStr">
        <is>
          <t>جعبه الکترونیکی مونتاژ ماشینی شده BCMi/SBMi_P207_SOREN_ARISUN Top</t>
        </is>
      </c>
      <c r="C10" s="6" t="inlineStr">
        <is>
          <t>13416020224</t>
        </is>
      </c>
      <c r="D10" s="15" t="n">
        <v>1400</v>
      </c>
      <c r="E10" s="15" t="n">
        <v>1200</v>
      </c>
      <c r="F10" s="6" t="inlineStr">
        <is>
          <t>1405/06/10</t>
        </is>
      </c>
      <c r="G10" s="9" t="n"/>
    </row>
    <row r="11" ht="20" customHeight="1">
      <c r="A11" s="10" t="n">
        <v>1201654</v>
      </c>
      <c r="B11" s="11" t="inlineStr">
        <is>
          <t>BCMi/SBMi_P207_SOREN_ARISUN Bottom جعبه الکترونیکی مونتاژ ماشینی شده</t>
        </is>
      </c>
      <c r="C11" s="11" t="inlineStr">
        <is>
          <t>13416020223</t>
        </is>
      </c>
      <c r="D11" s="15" t="n">
        <v>1750</v>
      </c>
      <c r="E11" s="15" t="n">
        <v>1200</v>
      </c>
      <c r="F11" s="11" t="inlineStr">
        <is>
          <t>1405/06/10</t>
        </is>
      </c>
      <c r="G11" s="13" t="n"/>
    </row>
    <row r="12" ht="20" customHeight="1">
      <c r="A12" s="5" t="n">
        <v>1201963</v>
      </c>
      <c r="B12" s="6" t="inlineStr">
        <is>
          <t>جلوآمپر کنترل ماشینی شده ICN1-DENA-HPT-THT</t>
        </is>
      </c>
      <c r="C12" s="6" t="inlineStr">
        <is>
          <t>12019630303</t>
        </is>
      </c>
      <c r="D12" s="15" t="n">
        <v>630</v>
      </c>
      <c r="E12" s="15" t="n">
        <v>360</v>
      </c>
      <c r="F12" s="6" t="inlineStr">
        <is>
          <t>1405/06/22</t>
        </is>
      </c>
      <c r="G12" s="9" t="n"/>
    </row>
    <row r="13" ht="20" customHeight="1">
      <c r="A13" s="10" t="n">
        <v>1201997</v>
      </c>
      <c r="B13" s="11" t="inlineStr">
        <is>
          <t>جلوآمپر کنترل ماشینی شده 207 دستی یکسان سازی</t>
        </is>
      </c>
      <c r="C13" s="11" t="inlineStr">
        <is>
          <t>12019970105</t>
        </is>
      </c>
      <c r="D13" s="15" t="n">
        <v>1050</v>
      </c>
      <c r="E13" s="15" t="n">
        <v>0</v>
      </c>
      <c r="F13" s="11" t="inlineStr">
        <is>
          <t>1405/03/27</t>
        </is>
      </c>
      <c r="G13" s="13" t="n"/>
    </row>
    <row r="14" ht="20" customHeight="1">
      <c r="A14" s="5" t="n">
        <v>1202122</v>
      </c>
      <c r="B14" s="6" t="inlineStr">
        <is>
          <t>کلید شیشه بالابر شاگرد کنترل ماشینی شده PASSENGER SBCM</t>
        </is>
      </c>
      <c r="C14" s="6" t="inlineStr">
        <is>
          <t>12021220100</t>
        </is>
      </c>
      <c r="D14" s="15" t="n">
        <v>3000</v>
      </c>
      <c r="E14" s="15" t="n">
        <v>3000</v>
      </c>
      <c r="F14" s="6" t="inlineStr">
        <is>
          <t>1404/04/10</t>
        </is>
      </c>
      <c r="G14" s="9" t="n"/>
    </row>
    <row r="15" ht="20" customHeight="1">
      <c r="A15" s="10" t="n">
        <v>1202150</v>
      </c>
      <c r="B15" s="11" t="inlineStr">
        <is>
          <t>کلید شیشه بالابر جلوچپ مونتاژماشینی شده CKD DRIVER DSM</t>
        </is>
      </c>
      <c r="C15" s="11" t="inlineStr">
        <is>
          <t>12021500203</t>
        </is>
      </c>
      <c r="D15" s="15" t="n">
        <v>1000</v>
      </c>
      <c r="E15" s="15" t="n">
        <v>0</v>
      </c>
      <c r="F15" s="11" t="inlineStr">
        <is>
          <t>1403/07/30</t>
        </is>
      </c>
      <c r="G15" s="13" t="n"/>
    </row>
    <row r="16" ht="20" customHeight="1">
      <c r="A16" s="5" t="n">
        <v>1202151</v>
      </c>
      <c r="B16" s="6" t="inlineStr">
        <is>
          <t>کلید شیشه بالابر جلو چپ مونتاژ ماشینی شده CKD DRIVER SBCM</t>
        </is>
      </c>
      <c r="C16" s="6" t="inlineStr">
        <is>
          <t>12021510112</t>
        </is>
      </c>
      <c r="D16" s="15" t="n">
        <v>1200</v>
      </c>
      <c r="E16" s="15" t="n">
        <v>2000</v>
      </c>
      <c r="F16" s="6" t="inlineStr">
        <is>
          <t>1405/07/11</t>
        </is>
      </c>
      <c r="G16" s="9" t="n"/>
    </row>
  </sheetData>
  <autoFilter ref="A3:G16"/>
  <mergeCells count="2">
    <mergeCell ref="A2:G2"/>
    <mergeCell ref="A1:G1"/>
  </mergeCells>
  <dataValidations count="1">
    <dataValidation sqref="D4:E16" showDropDown="0" showInputMessage="0" showErrorMessage="1" allowBlank="0" errorTitle="مقدار نامعتبر" error="تعداد برنامه باید عدد صفر یا بیشتر باشد." type="decimal" operator="greaterThanOrEqual">
      <formula1>0</formula1>
    </dataValidation>
  </dataValidations>
  <pageMargins left="0.75" right="0.75" top="1" bottom="1" header="0.5" footer="0.5"/>
  <pageSetup fitToWidth="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K16"/>
  <sheetViews>
    <sheetView rightToLeft="1" workbookViewId="0">
      <pane xSplit="2" ySplit="3" topLeftCell="C4" activePane="bottomRight" state="frozen"/>
      <selection pane="topRight"/>
      <selection pane="bottomLeft"/>
      <selection pane="bottomRight" activeCell="A1" sqref="A1"/>
    </sheetView>
  </sheetViews>
  <sheetFormatPr baseColWidth="8" defaultRowHeight="15"/>
  <cols>
    <col width="17" customWidth="1" min="1" max="1"/>
    <col width="48" customWidth="1" min="2" max="2"/>
    <col width="17" customWidth="1" min="3" max="3"/>
    <col width="17" customWidth="1" min="4" max="4"/>
    <col width="22" customWidth="1" min="5" max="5"/>
    <col width="25" customWidth="1" min="6" max="6"/>
    <col width="65" customWidth="1" min="7" max="7"/>
    <col width="25" customWidth="1" min="8" max="8"/>
    <col width="40" customWidth="1" min="9" max="9"/>
    <col width="22" customWidth="1" min="10" max="10"/>
    <col width="45" customWidth="1" min="11" max="11"/>
  </cols>
  <sheetData>
    <row r="1" ht="30" customHeight="1">
      <c r="A1" s="1" t="inlineStr">
        <is>
          <t>کنترل محصولات برنامه‌ریزی‌شده با کد ۱۲</t>
        </is>
      </c>
    </row>
    <row r="2" ht="30" customHeight="1">
      <c r="A2" s="2" t="inlineStr">
        <is>
          <t>برنامه‌ها با فرمول از صفحه ورودی برنامه جمع می‌شوند. موجودی محصول نهایی اطلاعاتی است و از تعداد برنامه کم نشده است.</t>
        </is>
      </c>
    </row>
    <row r="3" ht="40" customHeight="1">
      <c r="A3" s="3" t="inlineStr">
        <is>
          <t>کد محصول</t>
        </is>
      </c>
      <c r="B3" s="3" t="inlineStr">
        <is>
          <t>نام محصول</t>
        </is>
      </c>
      <c r="C3" s="3" t="inlineStr">
        <is>
          <t>برنامه سه‌روز</t>
        </is>
      </c>
      <c r="D3" s="3" t="inlineStr">
        <is>
          <t>برنامه بعدی</t>
        </is>
      </c>
      <c r="E3" s="3" t="inlineStr">
        <is>
          <t>موجودی محصول در انبار پای کار ماشینی</t>
        </is>
      </c>
      <c r="F3" s="3" t="inlineStr">
        <is>
          <t>موجودی محصول در سایر پای کارها (اطلاعاتی)</t>
        </is>
      </c>
      <c r="G3" s="3" t="inlineStr">
        <is>
          <t>جزئیات سایر انبارها</t>
        </is>
      </c>
      <c r="H3" s="3" t="inlineStr">
        <is>
          <t>نسخه BOM انتخاب‌شده</t>
        </is>
      </c>
      <c r="I3" s="3" t="inlineStr">
        <is>
          <t>نسخه‌های همزمان با پایان اعتبار خالی</t>
        </is>
      </c>
      <c r="J3" s="3" t="inlineStr">
        <is>
          <t>شناسه پیش‌فرض ثبت‌شده</t>
        </is>
      </c>
      <c r="K3" s="3" t="inlineStr">
        <is>
          <t>هشدار</t>
        </is>
      </c>
    </row>
    <row r="4" ht="20" customHeight="1">
      <c r="A4" s="5" t="n">
        <v>1200011</v>
      </c>
      <c r="B4" s="6" t="inlineStr">
        <is>
          <t>ماژول RF Module_T312  کنترل ماشینی شده</t>
        </is>
      </c>
      <c r="C4" s="5">
        <f>SUMIF('ورودی برنامه'!$A$4:$A$16,A4,'ورودی برنامه'!$D$4:$D$16)</f>
        <v>2300</v>
      </c>
      <c r="D4" s="5">
        <f>SUMIF('ورودی برنامه'!$A$4:$A$16,A4,'ورودی برنامه'!$E$4:$E$16)</f>
        <v>4000</v>
      </c>
      <c r="E4" s="5" t="n">
        <v>0</v>
      </c>
      <c r="F4" s="5" t="n">
        <v>625</v>
      </c>
      <c r="G4" s="6" t="inlineStr">
        <is>
          <t>انبار پای کار مونتاژ دستی و لحیم کاری - جاده مخصوص: 625</t>
        </is>
      </c>
      <c r="H4" s="6" t="inlineStr">
        <is>
          <t>12000110104</t>
        </is>
      </c>
      <c r="I4" s="6" t="inlineStr">
        <is>
          <t>12000110104</t>
        </is>
      </c>
      <c r="J4" s="6" t="inlineStr">
        <is>
          <t>6783</t>
        </is>
      </c>
      <c r="K4" s="14" t="inlineStr">
        <is>
          <t>موجودی ماشینی خالی؛ صفر فرض شده</t>
        </is>
      </c>
    </row>
    <row r="5" ht="20" customHeight="1">
      <c r="A5" s="10" t="n">
        <v>1200151</v>
      </c>
      <c r="B5" s="11" t="inlineStr">
        <is>
          <t>درایو کولر BLDC کنترل ماشینی شده</t>
        </is>
      </c>
      <c r="C5" s="10">
        <f>SUMIF('ورودی برنامه'!$A$4:$A$16,A5,'ورودی برنامه'!$D$4:$D$16)</f>
        <v>1500</v>
      </c>
      <c r="D5" s="10">
        <f>SUMIF('ورودی برنامه'!$A$4:$A$16,A5,'ورودی برنامه'!$E$4:$E$16)</f>
        <v>0</v>
      </c>
      <c r="E5" s="10" t="n">
        <v>0</v>
      </c>
      <c r="F5" s="10" t="n">
        <v>1828</v>
      </c>
      <c r="G5" s="11" t="inlineStr">
        <is>
          <t>انبار پای کار کنترل ماشینی - جاده مخصوص: 1,751 | انبار پای کار مونتاژ دستی و لحیم کاری - جاده مخصوص: 77</t>
        </is>
      </c>
      <c r="H5" s="11" t="inlineStr">
        <is>
          <t>12001510106</t>
        </is>
      </c>
      <c r="I5" s="11" t="inlineStr">
        <is>
          <t>12001510106</t>
        </is>
      </c>
      <c r="J5" s="11" t="inlineStr">
        <is>
          <t>6154</t>
        </is>
      </c>
      <c r="K5" s="14" t="inlineStr">
        <is>
          <t>موجودی ماشینی خالی؛ صفر فرض شده</t>
        </is>
      </c>
    </row>
    <row r="6" ht="20" customHeight="1">
      <c r="A6" s="5" t="n">
        <v>1200932</v>
      </c>
      <c r="B6" s="6" t="inlineStr">
        <is>
          <t>جلوآمپر کنترل ماشینی شده ICN SOREN یکسان سازی</t>
        </is>
      </c>
      <c r="C6" s="5">
        <f>SUMIF('ورودی برنامه'!$A$4:$A$16,A6,'ورودی برنامه'!$D$4:$D$16)</f>
        <v>650</v>
      </c>
      <c r="D6" s="5">
        <f>SUMIF('ورودی برنامه'!$A$4:$A$16,A6,'ورودی برنامه'!$E$4:$E$16)</f>
        <v>800</v>
      </c>
      <c r="E6" s="5" t="n">
        <v>0</v>
      </c>
      <c r="F6" s="5" t="n">
        <v>311</v>
      </c>
      <c r="G6" s="6" t="inlineStr">
        <is>
          <t>انبار پای کار مونتاژ دستی و لحیم کاری - جاده مخصوص: 201 | انبار پای کار کنترل ماشینی - جاده مخصوص: 110</t>
        </is>
      </c>
      <c r="H6" s="6" t="inlineStr">
        <is>
          <t>12009320110</t>
        </is>
      </c>
      <c r="I6" s="6" t="inlineStr">
        <is>
          <t>12009320110</t>
        </is>
      </c>
      <c r="J6" s="6" t="inlineStr">
        <is>
          <t>ثبت نشده</t>
        </is>
      </c>
      <c r="K6" s="14" t="inlineStr">
        <is>
          <t>شناسه BOM پیش‌فرض خالی است | موجودی ماشینی خالی؛ صفر فرض شده</t>
        </is>
      </c>
    </row>
    <row r="7" ht="20" customHeight="1">
      <c r="A7" s="10" t="n">
        <v>1201060</v>
      </c>
      <c r="B7" s="11" t="inlineStr">
        <is>
          <t>برد الکترونیکی ایموبلایزر EIM -مونتاژ ماشینی شده</t>
        </is>
      </c>
      <c r="C7" s="10">
        <f>SUMIF('ورودی برنامه'!$A$4:$A$16,A7,'ورودی برنامه'!$D$4:$D$16)</f>
        <v>2450</v>
      </c>
      <c r="D7" s="10">
        <f>SUMIF('ورودی برنامه'!$A$4:$A$16,A7,'ورودی برنامه'!$E$4:$E$16)</f>
        <v>2400</v>
      </c>
      <c r="E7" s="10" t="n">
        <v>0</v>
      </c>
      <c r="F7" s="10" t="n">
        <v>1776</v>
      </c>
      <c r="G7" s="11" t="inlineStr">
        <is>
          <t>انبار پای کار کنترل ماشینی - جاده مخصوص: 1,530 | انبار پای کار مجموعه سازی وبسته بندی - جاده مخصوص: 246</t>
        </is>
      </c>
      <c r="H7" s="11" t="inlineStr">
        <is>
          <t>12010600100-01</t>
        </is>
      </c>
      <c r="I7" s="11" t="inlineStr">
        <is>
          <t>12010600100-01</t>
        </is>
      </c>
      <c r="J7" s="11" t="inlineStr">
        <is>
          <t>5282</t>
        </is>
      </c>
      <c r="K7" s="14" t="inlineStr">
        <is>
          <t>موجودی ماشینی خالی؛ صفر فرض شده</t>
        </is>
      </c>
    </row>
    <row r="8" ht="20" customHeight="1">
      <c r="A8" s="5" t="n">
        <v>1201605</v>
      </c>
      <c r="B8" s="6" t="inlineStr">
        <is>
          <t>جعبه الکترونیکی مونتاژ ماشینی شده NBCM_DENA_SBR-(BOT)</t>
        </is>
      </c>
      <c r="C8" s="5">
        <f>SUMIF('ورودی برنامه'!$A$4:$A$16,A8,'ورودی برنامه'!$D$4:$D$16)</f>
        <v>1460</v>
      </c>
      <c r="D8" s="5">
        <f>SUMIF('ورودی برنامه'!$A$4:$A$16,A8,'ورودی برنامه'!$E$4:$E$16)</f>
        <v>1200</v>
      </c>
      <c r="E8" s="5" t="n">
        <v>0</v>
      </c>
      <c r="F8" s="5" t="n">
        <v>0</v>
      </c>
      <c r="G8" s="6" t="inlineStr"/>
      <c r="H8" s="6" t="inlineStr">
        <is>
          <t>13416020184</t>
        </is>
      </c>
      <c r="I8" s="6" t="inlineStr">
        <is>
          <t>13416020125، 13416020184</t>
        </is>
      </c>
      <c r="J8" s="6" t="inlineStr">
        <is>
          <t>6675</t>
        </is>
      </c>
      <c r="K8" s="14" t="inlineStr">
        <is>
          <t>چند نسخه با پایان خالی؛ انتخاب جدیدترین شروع</t>
        </is>
      </c>
    </row>
    <row r="9" ht="20" customHeight="1">
      <c r="A9" s="10" t="n">
        <v>1201643</v>
      </c>
      <c r="B9" s="11" t="inlineStr">
        <is>
          <t>جعبه الکترونیکی کنترل ماشینی شده NBCM_DENA_SBR-TOP</t>
        </is>
      </c>
      <c r="C9" s="10">
        <f>SUMIF('ورودی برنامه'!$A$4:$A$16,A9,'ورودی برنامه'!$D$4:$D$16)</f>
        <v>1460</v>
      </c>
      <c r="D9" s="10">
        <f>SUMIF('ورودی برنامه'!$A$4:$A$16,A9,'ورودی برنامه'!$E$4:$E$16)</f>
        <v>1200</v>
      </c>
      <c r="E9" s="10" t="n">
        <v>0</v>
      </c>
      <c r="F9" s="10" t="n">
        <v>223</v>
      </c>
      <c r="G9" s="11" t="inlineStr">
        <is>
          <t>انبار پای کار کنترل ماشینی - جاده مخصوص: 223</t>
        </is>
      </c>
      <c r="H9" s="11" t="inlineStr">
        <is>
          <t>13416020183</t>
        </is>
      </c>
      <c r="I9" s="11" t="inlineStr">
        <is>
          <t>12016430101، 13416020122، 13416020183</t>
        </is>
      </c>
      <c r="J9" s="11" t="inlineStr">
        <is>
          <t>6334</t>
        </is>
      </c>
      <c r="K9" s="14" t="inlineStr">
        <is>
          <t>چند نسخه با پایان خالی؛ انتخاب جدیدترین شروع | موجودی ماشینی خالی؛ صفر فرض شده</t>
        </is>
      </c>
    </row>
    <row r="10" ht="20" customHeight="1">
      <c r="A10" s="5" t="n">
        <v>1201653</v>
      </c>
      <c r="B10" s="6" t="inlineStr">
        <is>
          <t>جعبه الکترونیکی مونتاژ ماشینی شده BCMi/SBMi_P207_SOREN_ARISUN Top</t>
        </is>
      </c>
      <c r="C10" s="5">
        <f>SUMIF('ورودی برنامه'!$A$4:$A$16,A10,'ورودی برنامه'!$D$4:$D$16)</f>
        <v>1400</v>
      </c>
      <c r="D10" s="5">
        <f>SUMIF('ورودی برنامه'!$A$4:$A$16,A10,'ورودی برنامه'!$E$4:$E$16)</f>
        <v>1200</v>
      </c>
      <c r="E10" s="5" t="n">
        <v>0</v>
      </c>
      <c r="F10" s="5" t="n">
        <v>55</v>
      </c>
      <c r="G10" s="6" t="inlineStr">
        <is>
          <t>انبار پای کار مونتاژ دستی و لحیم کاری - جاده مخصوص: 54 | انبار نمونه شاهد پای کار: 1</t>
        </is>
      </c>
      <c r="H10" s="6" t="inlineStr">
        <is>
          <t>13416020224</t>
        </is>
      </c>
      <c r="I10" s="6" t="inlineStr">
        <is>
          <t>13416020224</t>
        </is>
      </c>
      <c r="J10" s="6" t="inlineStr">
        <is>
          <t>7046</t>
        </is>
      </c>
      <c r="K10" s="14" t="inlineStr">
        <is>
          <t>موجودی ماشینی خالی؛ صفر فرض شده</t>
        </is>
      </c>
    </row>
    <row r="11" ht="20" customHeight="1">
      <c r="A11" s="10" t="n">
        <v>1201654</v>
      </c>
      <c r="B11" s="11" t="inlineStr">
        <is>
          <t>BCMi/SBMi_P207_SOREN_ARISUN Bottom جعبه الکترونیکی مونتاژ ماشینی شده</t>
        </is>
      </c>
      <c r="C11" s="10">
        <f>SUMIF('ورودی برنامه'!$A$4:$A$16,A11,'ورودی برنامه'!$D$4:$D$16)</f>
        <v>1750</v>
      </c>
      <c r="D11" s="10">
        <f>SUMIF('ورودی برنامه'!$A$4:$A$16,A11,'ورودی برنامه'!$E$4:$E$16)</f>
        <v>1200</v>
      </c>
      <c r="E11" s="10" t="n">
        <v>100</v>
      </c>
      <c r="F11" s="10" t="n">
        <v>0</v>
      </c>
      <c r="G11" s="11" t="inlineStr"/>
      <c r="H11" s="11" t="inlineStr">
        <is>
          <t>13416020223</t>
        </is>
      </c>
      <c r="I11" s="11" t="inlineStr">
        <is>
          <t>13416020223</t>
        </is>
      </c>
      <c r="J11" s="11" t="inlineStr">
        <is>
          <t>6896</t>
        </is>
      </c>
      <c r="K11" s="11" t="inlineStr"/>
    </row>
    <row r="12" ht="20" customHeight="1">
      <c r="A12" s="5" t="n">
        <v>1201963</v>
      </c>
      <c r="B12" s="6" t="inlineStr">
        <is>
          <t>جلوآمپر کنترل ماشینی شده ICN1-DENA-HPT-THT</t>
        </is>
      </c>
      <c r="C12" s="5">
        <f>SUMIF('ورودی برنامه'!$A$4:$A$16,A12,'ورودی برنامه'!$D$4:$D$16)</f>
        <v>630</v>
      </c>
      <c r="D12" s="5">
        <f>SUMIF('ورودی برنامه'!$A$4:$A$16,A12,'ورودی برنامه'!$E$4:$E$16)</f>
        <v>360</v>
      </c>
      <c r="E12" s="5" t="n">
        <v>0</v>
      </c>
      <c r="F12" s="5" t="n">
        <v>662</v>
      </c>
      <c r="G12" s="6" t="inlineStr">
        <is>
          <t>انبار پای کار کنترل ماشینی - جاده مخصوص: 278 | انبار پای کار مونتاژ دستی و لحیم کاری - جاده مخصوص: 384</t>
        </is>
      </c>
      <c r="H12" s="6" t="inlineStr">
        <is>
          <t>12019630303</t>
        </is>
      </c>
      <c r="I12" s="6" t="inlineStr">
        <is>
          <t>12019630111، 12019630303</t>
        </is>
      </c>
      <c r="J12" s="6" t="inlineStr">
        <is>
          <t>6579</t>
        </is>
      </c>
      <c r="K12" s="14" t="inlineStr">
        <is>
          <t>چند نسخه با پایان خالی؛ انتخاب جدیدترین شروع | موجودی ماشینی خالی؛ صفر فرض شده</t>
        </is>
      </c>
    </row>
    <row r="13" ht="20" customHeight="1">
      <c r="A13" s="10" t="n">
        <v>1201997</v>
      </c>
      <c r="B13" s="11" t="inlineStr">
        <is>
          <t>جلوآمپر کنترل ماشینی شده 207 دستی یکسان سازی</t>
        </is>
      </c>
      <c r="C13" s="10">
        <f>SUMIF('ورودی برنامه'!$A$4:$A$16,A13,'ورودی برنامه'!$D$4:$D$16)</f>
        <v>1050</v>
      </c>
      <c r="D13" s="10">
        <f>SUMIF('ورودی برنامه'!$A$4:$A$16,A13,'ورودی برنامه'!$E$4:$E$16)</f>
        <v>0</v>
      </c>
      <c r="E13" s="10" t="n">
        <v>0</v>
      </c>
      <c r="F13" s="10" t="n">
        <v>0</v>
      </c>
      <c r="G13" s="11" t="inlineStr"/>
      <c r="H13" s="11" t="inlineStr">
        <is>
          <t>12019970105</t>
        </is>
      </c>
      <c r="I13" s="11" t="inlineStr">
        <is>
          <t>12019970105</t>
        </is>
      </c>
      <c r="J13" s="11" t="inlineStr">
        <is>
          <t>6708</t>
        </is>
      </c>
      <c r="K13" s="14" t="inlineStr">
        <is>
          <t>موجودی ماشینی خالی؛ صفر فرض شده</t>
        </is>
      </c>
    </row>
    <row r="14" ht="20" customHeight="1">
      <c r="A14" s="5" t="n">
        <v>1202122</v>
      </c>
      <c r="B14" s="6" t="inlineStr">
        <is>
          <t>کلید شیشه بالابر شاگرد کنترل ماشینی شده PASSENGER SBCM</t>
        </is>
      </c>
      <c r="C14" s="5">
        <f>SUMIF('ورودی برنامه'!$A$4:$A$16,A14,'ورودی برنامه'!$D$4:$D$16)</f>
        <v>3000</v>
      </c>
      <c r="D14" s="5">
        <f>SUMIF('ورودی برنامه'!$A$4:$A$16,A14,'ورودی برنامه'!$E$4:$E$16)</f>
        <v>3000</v>
      </c>
      <c r="E14" s="5" t="n">
        <v>0</v>
      </c>
      <c r="F14" s="5" t="n">
        <v>354</v>
      </c>
      <c r="G14" s="6" t="inlineStr">
        <is>
          <t>انبار پای کار مونتاژ دستی و لحیم کاری - جاده مخصوص: 354</t>
        </is>
      </c>
      <c r="H14" s="6" t="inlineStr">
        <is>
          <t>12021220100</t>
        </is>
      </c>
      <c r="I14" s="6" t="inlineStr">
        <is>
          <t>12021220100</t>
        </is>
      </c>
      <c r="J14" s="6" t="inlineStr">
        <is>
          <t>6726</t>
        </is>
      </c>
      <c r="K14" s="14" t="inlineStr">
        <is>
          <t>موجودی ماشینی خالی؛ صفر فرض شده</t>
        </is>
      </c>
    </row>
    <row r="15" ht="20" customHeight="1">
      <c r="A15" s="10" t="n">
        <v>1202150</v>
      </c>
      <c r="B15" s="11" t="inlineStr">
        <is>
          <t>کلید شیشه بالابر جلوچپ مونتاژماشینی شده CKD DRIVER DSM</t>
        </is>
      </c>
      <c r="C15" s="10">
        <f>SUMIF('ورودی برنامه'!$A$4:$A$16,A15,'ورودی برنامه'!$D$4:$D$16)</f>
        <v>1000</v>
      </c>
      <c r="D15" s="10">
        <f>SUMIF('ورودی برنامه'!$A$4:$A$16,A15,'ورودی برنامه'!$E$4:$E$16)</f>
        <v>0</v>
      </c>
      <c r="E15" s="10" t="n">
        <v>0</v>
      </c>
      <c r="F15" s="10" t="n">
        <v>14</v>
      </c>
      <c r="G15" s="11" t="inlineStr">
        <is>
          <t>انبار پای کار کنترل ماشینی - جاده مخصوص: 14</t>
        </is>
      </c>
      <c r="H15" s="11" t="inlineStr">
        <is>
          <t>12021500203</t>
        </is>
      </c>
      <c r="I15" s="11" t="inlineStr">
        <is>
          <t>12021500203</t>
        </is>
      </c>
      <c r="J15" s="11" t="inlineStr">
        <is>
          <t>5650</t>
        </is>
      </c>
      <c r="K15" s="14" t="inlineStr">
        <is>
          <t>موجودی ماشینی خالی؛ صفر فرض شده</t>
        </is>
      </c>
    </row>
    <row r="16" ht="20" customHeight="1">
      <c r="A16" s="5" t="n">
        <v>1202151</v>
      </c>
      <c r="B16" s="6" t="inlineStr">
        <is>
          <t>کلید شیشه بالابر جلو چپ مونتاژ ماشینی شده CKD DRIVER SBCM</t>
        </is>
      </c>
      <c r="C16" s="5">
        <f>SUMIF('ورودی برنامه'!$A$4:$A$16,A16,'ورودی برنامه'!$D$4:$D$16)</f>
        <v>1200</v>
      </c>
      <c r="D16" s="5">
        <f>SUMIF('ورودی برنامه'!$A$4:$A$16,A16,'ورودی برنامه'!$E$4:$E$16)</f>
        <v>2000</v>
      </c>
      <c r="E16" s="5" t="n">
        <v>0</v>
      </c>
      <c r="F16" s="5" t="n">
        <v>4</v>
      </c>
      <c r="G16" s="6" t="inlineStr">
        <is>
          <t>انبار پای کار مونتاژ دستی و لحیم کاری - جاده مخصوص: 4</t>
        </is>
      </c>
      <c r="H16" s="6" t="inlineStr">
        <is>
          <t>12021510112</t>
        </is>
      </c>
      <c r="I16" s="6" t="inlineStr">
        <is>
          <t>12021510112</t>
        </is>
      </c>
      <c r="J16" s="6" t="inlineStr">
        <is>
          <t>7034</t>
        </is>
      </c>
      <c r="K16" s="14" t="inlineStr">
        <is>
          <t>موجودی ماشینی خالی؛ صفر فرض شده</t>
        </is>
      </c>
    </row>
  </sheetData>
  <autoFilter ref="A3:K16"/>
  <mergeCells count="2">
    <mergeCell ref="A2:K2"/>
    <mergeCell ref="A1:K1"/>
  </mergeCells>
  <pageMargins left="0.75" right="0.75" top="1" bottom="1" header="0.5" footer="0.5"/>
  <pageSetup fitToWidth="1"/>
</worksheet>
</file>

<file path=xl/worksheets/sheet4.xml><?xml version="1.0" encoding="utf-8"?>
<worksheet xmlns="http://schemas.openxmlformats.org/spreadsheetml/2006/main">
  <sheetPr>
    <outlinePr summaryBelow="1" summaryRight="1"/>
    <pageSetUpPr fitToPage="1"/>
  </sheetPr>
  <dimension ref="A1:V607"/>
  <sheetViews>
    <sheetView rightToLeft="1" workbookViewId="0">
      <pane xSplit="2" ySplit="3" topLeftCell="C4" activePane="bottomRight" state="frozen"/>
      <selection pane="topRight"/>
      <selection pane="bottomLeft"/>
      <selection pane="bottomRight" activeCell="A1" sqref="A1"/>
    </sheetView>
  </sheetViews>
  <sheetFormatPr baseColWidth="8" defaultRowHeight="15"/>
  <cols>
    <col width="16" customWidth="1" min="1" max="1"/>
    <col width="45" customWidth="1" min="2" max="2"/>
    <col width="24" customWidth="1" min="3" max="3"/>
    <col width="16" customWidth="1" min="4" max="4"/>
    <col width="16" customWidth="1" min="5" max="5"/>
    <col width="15" customWidth="1" min="6" max="6"/>
    <col width="16" customWidth="1" min="7" max="7"/>
    <col width="48" customWidth="1" min="8" max="8"/>
    <col width="16" customWidth="1" min="9" max="9"/>
    <col width="14" customWidth="1" min="10" max="10"/>
    <col width="14" customWidth="1" min="11" max="11"/>
    <col width="15" customWidth="1" min="12" max="12"/>
    <col width="12" customWidth="1" min="13" max="13"/>
    <col width="16" customWidth="1" min="14" max="14"/>
    <col width="19" customWidth="1" min="15" max="15"/>
    <col width="29" customWidth="1" min="16" max="16"/>
    <col width="19" customWidth="1" min="17" max="17"/>
    <col width="19" customWidth="1" min="18" max="18"/>
    <col width="19" customWidth="1" min="19" max="19"/>
    <col width="19" customWidth="1" min="20" max="20"/>
    <col width="23" customWidth="1" min="21" max="21"/>
    <col width="23" customWidth="1" min="22" max="22"/>
  </cols>
  <sheetData>
    <row r="1" ht="30" customHeight="1">
      <c r="A1" s="1" t="inlineStr">
        <is>
          <t>ریز فرمول محاسبه به تفکیک محصول و ردیف BOM</t>
        </is>
      </c>
    </row>
    <row r="2" ht="30" customHeight="1">
      <c r="A2" s="2" t="inlineStr">
        <is>
          <t>ستون‌های Q تا T فرمول دارند. ستون‌های U و V سناریوی جایگزین ثابت‌اند و بعد از تغییر ورودی به‌روز نمی‌شوند.</t>
        </is>
      </c>
    </row>
    <row r="3" ht="40" customHeight="1">
      <c r="A3" s="3" t="inlineStr">
        <is>
          <t>کد محصول</t>
        </is>
      </c>
      <c r="B3" s="3" t="inlineStr">
        <is>
          <t>نام محصول</t>
        </is>
      </c>
      <c r="C3" s="3" t="inlineStr">
        <is>
          <t>شماره BOM</t>
        </is>
      </c>
      <c r="D3" s="3" t="inlineStr">
        <is>
          <t>شروع اعتبار</t>
        </is>
      </c>
      <c r="E3" s="3" t="inlineStr">
        <is>
          <t>تاریخ پایان اعتبار</t>
        </is>
      </c>
      <c r="F3" s="3" t="inlineStr">
        <is>
          <t>ردیف فایل BOM</t>
        </is>
      </c>
      <c r="G3" s="3" t="inlineStr">
        <is>
          <t>کد قطعه</t>
        </is>
      </c>
      <c r="H3" s="3" t="inlineStr">
        <is>
          <t>عنوان قطعه</t>
        </is>
      </c>
      <c r="I3" s="3" t="inlineStr">
        <is>
          <t>واحد</t>
        </is>
      </c>
      <c r="J3" s="3" t="inlineStr">
        <is>
          <t>ضریب</t>
        </is>
      </c>
      <c r="K3" s="3" t="inlineStr">
        <is>
          <t>مبنای BOM</t>
        </is>
      </c>
      <c r="L3" s="3" t="inlineStr">
        <is>
          <t>گروه جایگزین</t>
        </is>
      </c>
      <c r="M3" s="3" t="inlineStr">
        <is>
          <t>اولویت</t>
        </is>
      </c>
      <c r="N3" s="3" t="inlineStr">
        <is>
          <t>درصد استفاده BOM</t>
        </is>
      </c>
      <c r="O3" s="3" t="inlineStr">
        <is>
          <t>سهم اعمال شده (٪)</t>
        </is>
      </c>
      <c r="P3" s="3" t="inlineStr">
        <is>
          <t>روش محاسبه</t>
        </is>
      </c>
      <c r="Q3" s="3" t="inlineStr">
        <is>
          <t>برنامه سه‌روز محصول</t>
        </is>
      </c>
      <c r="R3" s="3" t="inlineStr">
        <is>
          <t>برنامه بعدی محصول</t>
        </is>
      </c>
      <c r="S3" s="3" t="inlineStr">
        <is>
          <t>نیاز سه‌روز قطعه</t>
        </is>
      </c>
      <c r="T3" s="3" t="inlineStr">
        <is>
          <t>نیاز بعدی قطعه</t>
        </is>
      </c>
      <c r="U3" s="4" t="inlineStr">
        <is>
          <t>نیاز سه‌روز اولویت (ثابت)</t>
        </is>
      </c>
      <c r="V3" s="4" t="inlineStr">
        <is>
          <t>نیاز بعدی اولویت (ثابت)</t>
        </is>
      </c>
    </row>
    <row r="4" ht="20" customHeight="1">
      <c r="A4" s="5" t="n">
        <v>1200011</v>
      </c>
      <c r="B4" s="6" t="inlineStr">
        <is>
          <t>ماژول RF Module_T312  کنترل ماشینی شده</t>
        </is>
      </c>
      <c r="C4" s="6" t="inlineStr">
        <is>
          <t>12000110104</t>
        </is>
      </c>
      <c r="D4" s="6" t="inlineStr">
        <is>
          <t>1405/04/29</t>
        </is>
      </c>
      <c r="E4" s="9" t="n"/>
      <c r="F4" s="5" t="n">
        <v>4822</v>
      </c>
      <c r="G4" s="5" t="n">
        <v>1100211</v>
      </c>
      <c r="H4" s="6" t="inlineStr">
        <is>
          <t>PCB_RF_Module_T312</t>
        </is>
      </c>
      <c r="I4" s="6" t="inlineStr">
        <is>
          <t>عدد(شمارشی)</t>
        </is>
      </c>
      <c r="J4" s="5" t="n">
        <v>1</v>
      </c>
      <c r="K4" s="5" t="n">
        <v>1</v>
      </c>
      <c r="L4" s="6" t="inlineStr">
        <is>
          <t>-</t>
        </is>
      </c>
      <c r="M4" s="9" t="n"/>
      <c r="N4" s="9" t="n"/>
      <c r="O4" s="5" t="n">
        <v>100</v>
      </c>
      <c r="P4" s="6" t="inlineStr">
        <is>
          <t>مصرف مستقیم</t>
        </is>
      </c>
      <c r="Q4" s="5">
        <f>SUMIFS('ورودی برنامه'!$D$4:$D$16,'ورودی برنامه'!$A$4:$A$16,A4,'ورودی برنامه'!$C$4:$C$16,C4)</f>
        <v>2300</v>
      </c>
      <c r="R4" s="5">
        <f>SUMIFS('ورودی برنامه'!$E$4:$E$16,'ورودی برنامه'!$A$4:$A$16,A4,'ورودی برنامه'!$C$4:$C$16,C4)</f>
        <v>4000</v>
      </c>
      <c r="S4" s="5">
        <f>ROUND(Q4*J4/K4*O4/100,10)</f>
        <v>2300</v>
      </c>
      <c r="T4" s="5">
        <f>ROUND(R4*J4/K4*O4/100,10)</f>
        <v>4000</v>
      </c>
      <c r="U4" s="5" t="n">
        <v>2300</v>
      </c>
      <c r="V4" s="5" t="n">
        <v>4000</v>
      </c>
    </row>
    <row r="5" ht="20" customHeight="1">
      <c r="A5" s="10" t="n">
        <v>1200011</v>
      </c>
      <c r="B5" s="11" t="inlineStr">
        <is>
          <t>ماژول RF Module_T312  کنترل ماشینی شده</t>
        </is>
      </c>
      <c r="C5" s="11" t="inlineStr">
        <is>
          <t>12000110104</t>
        </is>
      </c>
      <c r="D5" s="11" t="inlineStr">
        <is>
          <t>1405/04/29</t>
        </is>
      </c>
      <c r="E5" s="13" t="n"/>
      <c r="F5" s="10" t="n">
        <v>6803</v>
      </c>
      <c r="G5" s="10" t="n">
        <v>1110053</v>
      </c>
      <c r="H5" s="11" t="inlineStr">
        <is>
          <t>Capacitor 100N,100V,X7R,10%</t>
        </is>
      </c>
      <c r="I5" s="11" t="inlineStr">
        <is>
          <t>عدد</t>
        </is>
      </c>
      <c r="J5" s="10" t="n">
        <v>1</v>
      </c>
      <c r="K5" s="10" t="n">
        <v>1</v>
      </c>
      <c r="L5" s="11" t="inlineStr">
        <is>
          <t>-</t>
        </is>
      </c>
      <c r="M5" s="13" t="n"/>
      <c r="N5" s="13" t="n"/>
      <c r="O5" s="10" t="n">
        <v>100</v>
      </c>
      <c r="P5" s="11" t="inlineStr">
        <is>
          <t>مصرف مستقیم</t>
        </is>
      </c>
      <c r="Q5" s="10">
        <f>SUMIFS('ورودی برنامه'!$D$4:$D$16,'ورودی برنامه'!$A$4:$A$16,A5,'ورودی برنامه'!$C$4:$C$16,C5)</f>
        <v>2300</v>
      </c>
      <c r="R5" s="10">
        <f>SUMIFS('ورودی برنامه'!$E$4:$E$16,'ورودی برنامه'!$A$4:$A$16,A5,'ورودی برنامه'!$C$4:$C$16,C5)</f>
        <v>4000</v>
      </c>
      <c r="S5" s="10">
        <f>ROUND(Q5*J5/K5*O5/100,10)</f>
        <v>2300</v>
      </c>
      <c r="T5" s="10">
        <f>ROUND(R5*J5/K5*O5/100,10)</f>
        <v>4000</v>
      </c>
      <c r="U5" s="10" t="n">
        <v>2300</v>
      </c>
      <c r="V5" s="10" t="n">
        <v>4000</v>
      </c>
    </row>
    <row r="6" ht="20" customHeight="1">
      <c r="A6" s="5" t="n">
        <v>1200011</v>
      </c>
      <c r="B6" s="6" t="inlineStr">
        <is>
          <t>ماژول RF Module_T312  کنترل ماشینی شده</t>
        </is>
      </c>
      <c r="C6" s="6" t="inlineStr">
        <is>
          <t>12000110104</t>
        </is>
      </c>
      <c r="D6" s="6" t="inlineStr">
        <is>
          <t>1405/04/29</t>
        </is>
      </c>
      <c r="E6" s="9" t="n"/>
      <c r="F6" s="5" t="n">
        <v>17585</v>
      </c>
      <c r="G6" s="5" t="n">
        <v>1110080</v>
      </c>
      <c r="H6" s="6" t="inlineStr">
        <is>
          <t>Capacitor 1uF,50V,X7R,10%</t>
        </is>
      </c>
      <c r="I6" s="6" t="inlineStr">
        <is>
          <t>عدد</t>
        </is>
      </c>
      <c r="J6" s="5" t="n">
        <v>2</v>
      </c>
      <c r="K6" s="5" t="n">
        <v>1</v>
      </c>
      <c r="L6" s="6" t="inlineStr">
        <is>
          <t>-</t>
        </is>
      </c>
      <c r="M6" s="9" t="n"/>
      <c r="N6" s="9" t="n"/>
      <c r="O6" s="5" t="n">
        <v>100</v>
      </c>
      <c r="P6" s="6" t="inlineStr">
        <is>
          <t>مصرف مستقیم</t>
        </is>
      </c>
      <c r="Q6" s="5">
        <f>SUMIFS('ورودی برنامه'!$D$4:$D$16,'ورودی برنامه'!$A$4:$A$16,A6,'ورودی برنامه'!$C$4:$C$16,C6)</f>
        <v>2300</v>
      </c>
      <c r="R6" s="5">
        <f>SUMIFS('ورودی برنامه'!$E$4:$E$16,'ورودی برنامه'!$A$4:$A$16,A6,'ورودی برنامه'!$C$4:$C$16,C6)</f>
        <v>4000</v>
      </c>
      <c r="S6" s="5">
        <f>ROUND(Q6*J6/K6*O6/100,10)</f>
        <v>4600</v>
      </c>
      <c r="T6" s="5">
        <f>ROUND(R6*J6/K6*O6/100,10)</f>
        <v>8000</v>
      </c>
      <c r="U6" s="5" t="n">
        <v>4600</v>
      </c>
      <c r="V6" s="5" t="n">
        <v>8000</v>
      </c>
    </row>
    <row r="7" ht="20" customHeight="1">
      <c r="A7" s="10" t="n">
        <v>1200011</v>
      </c>
      <c r="B7" s="11" t="inlineStr">
        <is>
          <t>ماژول RF Module_T312  کنترل ماشینی شده</t>
        </is>
      </c>
      <c r="C7" s="11" t="inlineStr">
        <is>
          <t>12000110104</t>
        </is>
      </c>
      <c r="D7" s="11" t="inlineStr">
        <is>
          <t>1405/04/29</t>
        </is>
      </c>
      <c r="E7" s="13" t="n"/>
      <c r="F7" s="10" t="n">
        <v>24491</v>
      </c>
      <c r="G7" s="10" t="n">
        <v>1110914</v>
      </c>
      <c r="H7" s="11" t="inlineStr">
        <is>
          <t>Diode BAV99WT1G</t>
        </is>
      </c>
      <c r="I7" s="11" t="inlineStr">
        <is>
          <t>عدد</t>
        </is>
      </c>
      <c r="J7" s="10" t="n">
        <v>1</v>
      </c>
      <c r="K7" s="10" t="n">
        <v>1</v>
      </c>
      <c r="L7" s="11" t="inlineStr">
        <is>
          <t>-</t>
        </is>
      </c>
      <c r="M7" s="13" t="n"/>
      <c r="N7" s="13" t="n"/>
      <c r="O7" s="10" t="n">
        <v>100</v>
      </c>
      <c r="P7" s="11" t="inlineStr">
        <is>
          <t>مصرف مستقیم</t>
        </is>
      </c>
      <c r="Q7" s="10">
        <f>SUMIFS('ورودی برنامه'!$D$4:$D$16,'ورودی برنامه'!$A$4:$A$16,A7,'ورودی برنامه'!$C$4:$C$16,C7)</f>
        <v>2300</v>
      </c>
      <c r="R7" s="10">
        <f>SUMIFS('ورودی برنامه'!$E$4:$E$16,'ورودی برنامه'!$A$4:$A$16,A7,'ورودی برنامه'!$C$4:$C$16,C7)</f>
        <v>4000</v>
      </c>
      <c r="S7" s="10">
        <f>ROUND(Q7*J7/K7*O7/100,10)</f>
        <v>2300</v>
      </c>
      <c r="T7" s="10">
        <f>ROUND(R7*J7/K7*O7/100,10)</f>
        <v>4000</v>
      </c>
      <c r="U7" s="10" t="n">
        <v>2300</v>
      </c>
      <c r="V7" s="10" t="n">
        <v>4000</v>
      </c>
    </row>
    <row r="8" ht="20" customHeight="1">
      <c r="A8" s="5" t="n">
        <v>1200011</v>
      </c>
      <c r="B8" s="6" t="inlineStr">
        <is>
          <t>ماژول RF Module_T312  کنترل ماشینی شده</t>
        </is>
      </c>
      <c r="C8" s="6" t="inlineStr">
        <is>
          <t>12000110104</t>
        </is>
      </c>
      <c r="D8" s="6" t="inlineStr">
        <is>
          <t>1405/04/29</t>
        </is>
      </c>
      <c r="E8" s="9" t="n"/>
      <c r="F8" s="5" t="n">
        <v>28036</v>
      </c>
      <c r="G8" s="5" t="n">
        <v>1110621</v>
      </c>
      <c r="H8" s="6" t="inlineStr">
        <is>
          <t>Transistor;DTC 143EK-T-146-CP.ROHM</t>
        </is>
      </c>
      <c r="I8" s="6" t="inlineStr">
        <is>
          <t>عدد</t>
        </is>
      </c>
      <c r="J8" s="5" t="n">
        <v>1</v>
      </c>
      <c r="K8" s="5" t="n">
        <v>1</v>
      </c>
      <c r="L8" s="6" t="inlineStr">
        <is>
          <t>-</t>
        </is>
      </c>
      <c r="M8" s="9" t="n"/>
      <c r="N8" s="9" t="n"/>
      <c r="O8" s="5" t="n">
        <v>100</v>
      </c>
      <c r="P8" s="6" t="inlineStr">
        <is>
          <t>مصرف مستقیم</t>
        </is>
      </c>
      <c r="Q8" s="5">
        <f>SUMIFS('ورودی برنامه'!$D$4:$D$16,'ورودی برنامه'!$A$4:$A$16,A8,'ورودی برنامه'!$C$4:$C$16,C8)</f>
        <v>2300</v>
      </c>
      <c r="R8" s="5">
        <f>SUMIFS('ورودی برنامه'!$E$4:$E$16,'ورودی برنامه'!$A$4:$A$16,A8,'ورودی برنامه'!$C$4:$C$16,C8)</f>
        <v>4000</v>
      </c>
      <c r="S8" s="5">
        <f>ROUND(Q8*J8/K8*O8/100,10)</f>
        <v>2300</v>
      </c>
      <c r="T8" s="5">
        <f>ROUND(R8*J8/K8*O8/100,10)</f>
        <v>4000</v>
      </c>
      <c r="U8" s="5" t="n">
        <v>2300</v>
      </c>
      <c r="V8" s="5" t="n">
        <v>4000</v>
      </c>
    </row>
    <row r="9" ht="20" customHeight="1">
      <c r="A9" s="10" t="n">
        <v>1200011</v>
      </c>
      <c r="B9" s="11" t="inlineStr">
        <is>
          <t>ماژول RF Module_T312  کنترل ماشینی شده</t>
        </is>
      </c>
      <c r="C9" s="11" t="inlineStr">
        <is>
          <t>12000110104</t>
        </is>
      </c>
      <c r="D9" s="11" t="inlineStr">
        <is>
          <t>1405/04/29</t>
        </is>
      </c>
      <c r="E9" s="13" t="n"/>
      <c r="F9" s="10" t="n">
        <v>29697</v>
      </c>
      <c r="G9" s="10" t="n">
        <v>1110629</v>
      </c>
      <c r="H9" s="11" t="inlineStr">
        <is>
          <t>Transistor DTA 143EK-T-146-CP</t>
        </is>
      </c>
      <c r="I9" s="11" t="inlineStr">
        <is>
          <t>عدد</t>
        </is>
      </c>
      <c r="J9" s="10" t="n">
        <v>2</v>
      </c>
      <c r="K9" s="10" t="n">
        <v>1</v>
      </c>
      <c r="L9" s="11" t="inlineStr">
        <is>
          <t>-</t>
        </is>
      </c>
      <c r="M9" s="13" t="n"/>
      <c r="N9" s="13" t="n"/>
      <c r="O9" s="10" t="n">
        <v>100</v>
      </c>
      <c r="P9" s="11" t="inlineStr">
        <is>
          <t>مصرف مستقیم</t>
        </is>
      </c>
      <c r="Q9" s="10">
        <f>SUMIFS('ورودی برنامه'!$D$4:$D$16,'ورودی برنامه'!$A$4:$A$16,A9,'ورودی برنامه'!$C$4:$C$16,C9)</f>
        <v>2300</v>
      </c>
      <c r="R9" s="10">
        <f>SUMIFS('ورودی برنامه'!$E$4:$E$16,'ورودی برنامه'!$A$4:$A$16,A9,'ورودی برنامه'!$C$4:$C$16,C9)</f>
        <v>4000</v>
      </c>
      <c r="S9" s="10">
        <f>ROUND(Q9*J9/K9*O9/100,10)</f>
        <v>4600</v>
      </c>
      <c r="T9" s="10">
        <f>ROUND(R9*J9/K9*O9/100,10)</f>
        <v>8000</v>
      </c>
      <c r="U9" s="10" t="n">
        <v>4600</v>
      </c>
      <c r="V9" s="10" t="n">
        <v>8000</v>
      </c>
    </row>
    <row r="10" ht="20" customHeight="1">
      <c r="A10" s="5" t="n">
        <v>1200011</v>
      </c>
      <c r="B10" s="6" t="inlineStr">
        <is>
          <t>ماژول RF Module_T312  کنترل ماشینی شده</t>
        </is>
      </c>
      <c r="C10" s="6" t="inlineStr">
        <is>
          <t>12000110104</t>
        </is>
      </c>
      <c r="D10" s="6" t="inlineStr">
        <is>
          <t>1405/04/29</t>
        </is>
      </c>
      <c r="E10" s="9" t="n"/>
      <c r="F10" s="5" t="n">
        <v>30016</v>
      </c>
      <c r="G10" s="5" t="n">
        <v>1110623</v>
      </c>
      <c r="H10" s="6" t="inlineStr">
        <is>
          <t>SAW FILTER 433.92MHz</t>
        </is>
      </c>
      <c r="I10" s="6" t="inlineStr">
        <is>
          <t>عدد</t>
        </is>
      </c>
      <c r="J10" s="5" t="n">
        <v>1</v>
      </c>
      <c r="K10" s="5" t="n">
        <v>1</v>
      </c>
      <c r="L10" s="6" t="inlineStr">
        <is>
          <t>-</t>
        </is>
      </c>
      <c r="M10" s="9" t="n"/>
      <c r="N10" s="9" t="n"/>
      <c r="O10" s="5" t="n">
        <v>100</v>
      </c>
      <c r="P10" s="6" t="inlineStr">
        <is>
          <t>مصرف مستقیم</t>
        </is>
      </c>
      <c r="Q10" s="5">
        <f>SUMIFS('ورودی برنامه'!$D$4:$D$16,'ورودی برنامه'!$A$4:$A$16,A10,'ورودی برنامه'!$C$4:$C$16,C10)</f>
        <v>2300</v>
      </c>
      <c r="R10" s="5">
        <f>SUMIFS('ورودی برنامه'!$E$4:$E$16,'ورودی برنامه'!$A$4:$A$16,A10,'ورودی برنامه'!$C$4:$C$16,C10)</f>
        <v>4000</v>
      </c>
      <c r="S10" s="5">
        <f>ROUND(Q10*J10/K10*O10/100,10)</f>
        <v>2300</v>
      </c>
      <c r="T10" s="5">
        <f>ROUND(R10*J10/K10*O10/100,10)</f>
        <v>4000</v>
      </c>
      <c r="U10" s="5" t="n">
        <v>2300</v>
      </c>
      <c r="V10" s="5" t="n">
        <v>4000</v>
      </c>
    </row>
    <row r="11" ht="20" customHeight="1">
      <c r="A11" s="10" t="n">
        <v>1200011</v>
      </c>
      <c r="B11" s="11" t="inlineStr">
        <is>
          <t>ماژول RF Module_T312  کنترل ماشینی شده</t>
        </is>
      </c>
      <c r="C11" s="11" t="inlineStr">
        <is>
          <t>12000110104</t>
        </is>
      </c>
      <c r="D11" s="11" t="inlineStr">
        <is>
          <t>1405/04/29</t>
        </is>
      </c>
      <c r="E11" s="13" t="n"/>
      <c r="F11" s="10" t="n">
        <v>30019</v>
      </c>
      <c r="G11" s="10" t="n">
        <v>1110135</v>
      </c>
      <c r="H11" s="11" t="inlineStr">
        <is>
          <t>Capacitor 1uF,16V,10%,X7R(3008118</t>
        </is>
      </c>
      <c r="I11" s="11" t="inlineStr">
        <is>
          <t>عدد</t>
        </is>
      </c>
      <c r="J11" s="10" t="n">
        <v>1</v>
      </c>
      <c r="K11" s="10" t="n">
        <v>1</v>
      </c>
      <c r="L11" s="11" t="inlineStr">
        <is>
          <t>-</t>
        </is>
      </c>
      <c r="M11" s="13" t="n"/>
      <c r="N11" s="13" t="n"/>
      <c r="O11" s="10" t="n">
        <v>100</v>
      </c>
      <c r="P11" s="11" t="inlineStr">
        <is>
          <t>مصرف مستقیم</t>
        </is>
      </c>
      <c r="Q11" s="10">
        <f>SUMIFS('ورودی برنامه'!$D$4:$D$16,'ورودی برنامه'!$A$4:$A$16,A11,'ورودی برنامه'!$C$4:$C$16,C11)</f>
        <v>2300</v>
      </c>
      <c r="R11" s="10">
        <f>SUMIFS('ورودی برنامه'!$E$4:$E$16,'ورودی برنامه'!$A$4:$A$16,A11,'ورودی برنامه'!$C$4:$C$16,C11)</f>
        <v>4000</v>
      </c>
      <c r="S11" s="10">
        <f>ROUND(Q11*J11/K11*O11/100,10)</f>
        <v>2300</v>
      </c>
      <c r="T11" s="10">
        <f>ROUND(R11*J11/K11*O11/100,10)</f>
        <v>4000</v>
      </c>
      <c r="U11" s="10" t="n">
        <v>2300</v>
      </c>
      <c r="V11" s="10" t="n">
        <v>4000</v>
      </c>
    </row>
    <row r="12" ht="20" customHeight="1">
      <c r="A12" s="5" t="n">
        <v>1200011</v>
      </c>
      <c r="B12" s="6" t="inlineStr">
        <is>
          <t>ماژول RF Module_T312  کنترل ماشینی شده</t>
        </is>
      </c>
      <c r="C12" s="6" t="inlineStr">
        <is>
          <t>12000110104</t>
        </is>
      </c>
      <c r="D12" s="6" t="inlineStr">
        <is>
          <t>1405/04/29</t>
        </is>
      </c>
      <c r="E12" s="9" t="n"/>
      <c r="F12" s="5" t="n">
        <v>30113</v>
      </c>
      <c r="G12" s="5" t="n">
        <v>1110114</v>
      </c>
      <c r="H12" s="6" t="inlineStr">
        <is>
          <t>Capacitor  9PF,50V,±0.5pF,C0G</t>
        </is>
      </c>
      <c r="I12" s="6" t="inlineStr">
        <is>
          <t>عدد</t>
        </is>
      </c>
      <c r="J12" s="5" t="n">
        <v>1</v>
      </c>
      <c r="K12" s="5" t="n">
        <v>1</v>
      </c>
      <c r="L12" s="6" t="inlineStr">
        <is>
          <t>-</t>
        </is>
      </c>
      <c r="M12" s="9" t="n"/>
      <c r="N12" s="9" t="n"/>
      <c r="O12" s="5" t="n">
        <v>100</v>
      </c>
      <c r="P12" s="6" t="inlineStr">
        <is>
          <t>مصرف مستقیم</t>
        </is>
      </c>
      <c r="Q12" s="5">
        <f>SUMIFS('ورودی برنامه'!$D$4:$D$16,'ورودی برنامه'!$A$4:$A$16,A12,'ورودی برنامه'!$C$4:$C$16,C12)</f>
        <v>2300</v>
      </c>
      <c r="R12" s="5">
        <f>SUMIFS('ورودی برنامه'!$E$4:$E$16,'ورودی برنامه'!$A$4:$A$16,A12,'ورودی برنامه'!$C$4:$C$16,C12)</f>
        <v>4000</v>
      </c>
      <c r="S12" s="5">
        <f>ROUND(Q12*J12/K12*O12/100,10)</f>
        <v>2300</v>
      </c>
      <c r="T12" s="5">
        <f>ROUND(R12*J12/K12*O12/100,10)</f>
        <v>4000</v>
      </c>
      <c r="U12" s="5" t="n">
        <v>2300</v>
      </c>
      <c r="V12" s="5" t="n">
        <v>4000</v>
      </c>
    </row>
    <row r="13" ht="20" customHeight="1">
      <c r="A13" s="10" t="n">
        <v>1200011</v>
      </c>
      <c r="B13" s="11" t="inlineStr">
        <is>
          <t>ماژول RF Module_T312  کنترل ماشینی شده</t>
        </is>
      </c>
      <c r="C13" s="11" t="inlineStr">
        <is>
          <t>12000110104</t>
        </is>
      </c>
      <c r="D13" s="11" t="inlineStr">
        <is>
          <t>1405/04/29</t>
        </is>
      </c>
      <c r="E13" s="13" t="n"/>
      <c r="F13" s="10" t="n">
        <v>30116</v>
      </c>
      <c r="G13" s="10" t="n">
        <v>1110127</v>
      </c>
      <c r="H13" s="11" t="inlineStr">
        <is>
          <t>Capacitor 10PF,50V,5%,C0G</t>
        </is>
      </c>
      <c r="I13" s="11" t="inlineStr">
        <is>
          <t>عدد</t>
        </is>
      </c>
      <c r="J13" s="10" t="n">
        <v>2</v>
      </c>
      <c r="K13" s="10" t="n">
        <v>1</v>
      </c>
      <c r="L13" s="11" t="inlineStr">
        <is>
          <t>-</t>
        </is>
      </c>
      <c r="M13" s="13" t="n"/>
      <c r="N13" s="13" t="n"/>
      <c r="O13" s="10" t="n">
        <v>100</v>
      </c>
      <c r="P13" s="11" t="inlineStr">
        <is>
          <t>مصرف مستقیم</t>
        </is>
      </c>
      <c r="Q13" s="10">
        <f>SUMIFS('ورودی برنامه'!$D$4:$D$16,'ورودی برنامه'!$A$4:$A$16,A13,'ورودی برنامه'!$C$4:$C$16,C13)</f>
        <v>2300</v>
      </c>
      <c r="R13" s="10">
        <f>SUMIFS('ورودی برنامه'!$E$4:$E$16,'ورودی برنامه'!$A$4:$A$16,A13,'ورودی برنامه'!$C$4:$C$16,C13)</f>
        <v>4000</v>
      </c>
      <c r="S13" s="10">
        <f>ROUND(Q13*J13/K13*O13/100,10)</f>
        <v>4600</v>
      </c>
      <c r="T13" s="10">
        <f>ROUND(R13*J13/K13*O13/100,10)</f>
        <v>8000</v>
      </c>
      <c r="U13" s="10" t="n">
        <v>4600</v>
      </c>
      <c r="V13" s="10" t="n">
        <v>8000</v>
      </c>
    </row>
    <row r="14" ht="20" customHeight="1">
      <c r="A14" s="5" t="n">
        <v>1200011</v>
      </c>
      <c r="B14" s="6" t="inlineStr">
        <is>
          <t>ماژول RF Module_T312  کنترل ماشینی شده</t>
        </is>
      </c>
      <c r="C14" s="6" t="inlineStr">
        <is>
          <t>12000110104</t>
        </is>
      </c>
      <c r="D14" s="6" t="inlineStr">
        <is>
          <t>1405/04/29</t>
        </is>
      </c>
      <c r="E14" s="9" t="n"/>
      <c r="F14" s="5" t="n">
        <v>30134</v>
      </c>
      <c r="G14" s="5" t="n">
        <v>1110156</v>
      </c>
      <c r="H14" s="6" t="inlineStr">
        <is>
          <t>Capacitor 56PF,50V,5%,C0G</t>
        </is>
      </c>
      <c r="I14" s="6" t="inlineStr">
        <is>
          <t>عدد</t>
        </is>
      </c>
      <c r="J14" s="5" t="n">
        <v>1</v>
      </c>
      <c r="K14" s="5" t="n">
        <v>1</v>
      </c>
      <c r="L14" s="6" t="inlineStr">
        <is>
          <t>-</t>
        </is>
      </c>
      <c r="M14" s="9" t="n"/>
      <c r="N14" s="9" t="n"/>
      <c r="O14" s="5" t="n">
        <v>100</v>
      </c>
      <c r="P14" s="6" t="inlineStr">
        <is>
          <t>مصرف مستقیم</t>
        </is>
      </c>
      <c r="Q14" s="5">
        <f>SUMIFS('ورودی برنامه'!$D$4:$D$16,'ورودی برنامه'!$A$4:$A$16,A14,'ورودی برنامه'!$C$4:$C$16,C14)</f>
        <v>2300</v>
      </c>
      <c r="R14" s="5">
        <f>SUMIFS('ورودی برنامه'!$E$4:$E$16,'ورودی برنامه'!$A$4:$A$16,A14,'ورودی برنامه'!$C$4:$C$16,C14)</f>
        <v>4000</v>
      </c>
      <c r="S14" s="5">
        <f>ROUND(Q14*J14/K14*O14/100,10)</f>
        <v>2300</v>
      </c>
      <c r="T14" s="5">
        <f>ROUND(R14*J14/K14*O14/100,10)</f>
        <v>4000</v>
      </c>
      <c r="U14" s="5" t="n">
        <v>2300</v>
      </c>
      <c r="V14" s="5" t="n">
        <v>4000</v>
      </c>
    </row>
    <row r="15" ht="20" customHeight="1">
      <c r="A15" s="10" t="n">
        <v>1200011</v>
      </c>
      <c r="B15" s="11" t="inlineStr">
        <is>
          <t>ماژول RF Module_T312  کنترل ماشینی شده</t>
        </is>
      </c>
      <c r="C15" s="11" t="inlineStr">
        <is>
          <t>12000110104</t>
        </is>
      </c>
      <c r="D15" s="11" t="inlineStr">
        <is>
          <t>1405/04/29</t>
        </is>
      </c>
      <c r="E15" s="13" t="n"/>
      <c r="F15" s="10" t="n">
        <v>30137</v>
      </c>
      <c r="G15" s="10" t="n">
        <v>1110143</v>
      </c>
      <c r="H15" s="11" t="inlineStr">
        <is>
          <t>Capacitor 270PF,50V,5%,C0G</t>
        </is>
      </c>
      <c r="I15" s="11" t="inlineStr">
        <is>
          <t>عدد</t>
        </is>
      </c>
      <c r="J15" s="10" t="n">
        <v>1</v>
      </c>
      <c r="K15" s="10" t="n">
        <v>1</v>
      </c>
      <c r="L15" s="11" t="inlineStr">
        <is>
          <t>-</t>
        </is>
      </c>
      <c r="M15" s="13" t="n"/>
      <c r="N15" s="13" t="n"/>
      <c r="O15" s="10" t="n">
        <v>100</v>
      </c>
      <c r="P15" s="11" t="inlineStr">
        <is>
          <t>مصرف مستقیم</t>
        </is>
      </c>
      <c r="Q15" s="10">
        <f>SUMIFS('ورودی برنامه'!$D$4:$D$16,'ورودی برنامه'!$A$4:$A$16,A15,'ورودی برنامه'!$C$4:$C$16,C15)</f>
        <v>2300</v>
      </c>
      <c r="R15" s="10">
        <f>SUMIFS('ورودی برنامه'!$E$4:$E$16,'ورودی برنامه'!$A$4:$A$16,A15,'ورودی برنامه'!$C$4:$C$16,C15)</f>
        <v>4000</v>
      </c>
      <c r="S15" s="10">
        <f>ROUND(Q15*J15/K15*O15/100,10)</f>
        <v>2300</v>
      </c>
      <c r="T15" s="10">
        <f>ROUND(R15*J15/K15*O15/100,10)</f>
        <v>4000</v>
      </c>
      <c r="U15" s="10" t="n">
        <v>2300</v>
      </c>
      <c r="V15" s="10" t="n">
        <v>4000</v>
      </c>
    </row>
    <row r="16" ht="20" customHeight="1">
      <c r="A16" s="5" t="n">
        <v>1200011</v>
      </c>
      <c r="B16" s="6" t="inlineStr">
        <is>
          <t>ماژول RF Module_T312  کنترل ماشینی شده</t>
        </is>
      </c>
      <c r="C16" s="6" t="inlineStr">
        <is>
          <t>12000110104</t>
        </is>
      </c>
      <c r="D16" s="6" t="inlineStr">
        <is>
          <t>1405/04/29</t>
        </is>
      </c>
      <c r="E16" s="9" t="n"/>
      <c r="F16" s="5" t="n">
        <v>30150</v>
      </c>
      <c r="G16" s="5" t="n">
        <v>1110149</v>
      </c>
      <c r="H16" s="6" t="inlineStr">
        <is>
          <t>Capacitor 4.7nF,50V,X7R,10% (3008124</t>
        </is>
      </c>
      <c r="I16" s="6" t="inlineStr">
        <is>
          <t>عدد</t>
        </is>
      </c>
      <c r="J16" s="5" t="n">
        <v>1</v>
      </c>
      <c r="K16" s="5" t="n">
        <v>1</v>
      </c>
      <c r="L16" s="6" t="inlineStr">
        <is>
          <t>-</t>
        </is>
      </c>
      <c r="M16" s="9" t="n"/>
      <c r="N16" s="9" t="n"/>
      <c r="O16" s="5" t="n">
        <v>100</v>
      </c>
      <c r="P16" s="6" t="inlineStr">
        <is>
          <t>مصرف مستقیم</t>
        </is>
      </c>
      <c r="Q16" s="5">
        <f>SUMIFS('ورودی برنامه'!$D$4:$D$16,'ورودی برنامه'!$A$4:$A$16,A16,'ورودی برنامه'!$C$4:$C$16,C16)</f>
        <v>2300</v>
      </c>
      <c r="R16" s="5">
        <f>SUMIFS('ورودی برنامه'!$E$4:$E$16,'ورودی برنامه'!$A$4:$A$16,A16,'ورودی برنامه'!$C$4:$C$16,C16)</f>
        <v>4000</v>
      </c>
      <c r="S16" s="5">
        <f>ROUND(Q16*J16/K16*O16/100,10)</f>
        <v>2300</v>
      </c>
      <c r="T16" s="5">
        <f>ROUND(R16*J16/K16*O16/100,10)</f>
        <v>4000</v>
      </c>
      <c r="U16" s="5" t="n">
        <v>2300</v>
      </c>
      <c r="V16" s="5" t="n">
        <v>4000</v>
      </c>
    </row>
    <row r="17" ht="20" customHeight="1">
      <c r="A17" s="10" t="n">
        <v>1200011</v>
      </c>
      <c r="B17" s="11" t="inlineStr">
        <is>
          <t>ماژول RF Module_T312  کنترل ماشینی شده</t>
        </is>
      </c>
      <c r="C17" s="11" t="inlineStr">
        <is>
          <t>12000110104</t>
        </is>
      </c>
      <c r="D17" s="11" t="inlineStr">
        <is>
          <t>1405/04/29</t>
        </is>
      </c>
      <c r="E17" s="13" t="n"/>
      <c r="F17" s="10" t="n">
        <v>30607</v>
      </c>
      <c r="G17" s="10" t="n">
        <v>1110124</v>
      </c>
      <c r="H17" s="11" t="inlineStr">
        <is>
          <t>Capacitor 10NF,16V,10%,X7R</t>
        </is>
      </c>
      <c r="I17" s="11" t="inlineStr">
        <is>
          <t>عدد</t>
        </is>
      </c>
      <c r="J17" s="10" t="n">
        <v>4</v>
      </c>
      <c r="K17" s="10" t="n">
        <v>1</v>
      </c>
      <c r="L17" s="11" t="inlineStr">
        <is>
          <t>-</t>
        </is>
      </c>
      <c r="M17" s="13" t="n"/>
      <c r="N17" s="13" t="n"/>
      <c r="O17" s="10" t="n">
        <v>100</v>
      </c>
      <c r="P17" s="11" t="inlineStr">
        <is>
          <t>مصرف مستقیم</t>
        </is>
      </c>
      <c r="Q17" s="10">
        <f>SUMIFS('ورودی برنامه'!$D$4:$D$16,'ورودی برنامه'!$A$4:$A$16,A17,'ورودی برنامه'!$C$4:$C$16,C17)</f>
        <v>2300</v>
      </c>
      <c r="R17" s="10">
        <f>SUMIFS('ورودی برنامه'!$E$4:$E$16,'ورودی برنامه'!$A$4:$A$16,A17,'ورودی برنامه'!$C$4:$C$16,C17)</f>
        <v>4000</v>
      </c>
      <c r="S17" s="10">
        <f>ROUND(Q17*J17/K17*O17/100,10)</f>
        <v>9200</v>
      </c>
      <c r="T17" s="10">
        <f>ROUND(R17*J17/K17*O17/100,10)</f>
        <v>16000</v>
      </c>
      <c r="U17" s="10" t="n">
        <v>9200</v>
      </c>
      <c r="V17" s="10" t="n">
        <v>16000</v>
      </c>
    </row>
    <row r="18" ht="20" customHeight="1">
      <c r="A18" s="5" t="n">
        <v>1200011</v>
      </c>
      <c r="B18" s="6" t="inlineStr">
        <is>
          <t>ماژول RF Module_T312  کنترل ماشینی شده</t>
        </is>
      </c>
      <c r="C18" s="6" t="inlineStr">
        <is>
          <t>12000110104</t>
        </is>
      </c>
      <c r="D18" s="6" t="inlineStr">
        <is>
          <t>1405/04/29</t>
        </is>
      </c>
      <c r="E18" s="9" t="n"/>
      <c r="F18" s="5" t="n">
        <v>30626</v>
      </c>
      <c r="G18" s="5" t="n">
        <v>1110117</v>
      </c>
      <c r="H18" s="6" t="inlineStr">
        <is>
          <t>Capacitor 100NF,16V,10%,X7R(3008126</t>
        </is>
      </c>
      <c r="I18" s="6" t="inlineStr">
        <is>
          <t>عدد</t>
        </is>
      </c>
      <c r="J18" s="5" t="n">
        <v>8</v>
      </c>
      <c r="K18" s="5" t="n">
        <v>1</v>
      </c>
      <c r="L18" s="6" t="inlineStr">
        <is>
          <t>-</t>
        </is>
      </c>
      <c r="M18" s="9" t="n"/>
      <c r="N18" s="9" t="n"/>
      <c r="O18" s="5" t="n">
        <v>100</v>
      </c>
      <c r="P18" s="6" t="inlineStr">
        <is>
          <t>مصرف مستقیم</t>
        </is>
      </c>
      <c r="Q18" s="5">
        <f>SUMIFS('ورودی برنامه'!$D$4:$D$16,'ورودی برنامه'!$A$4:$A$16,A18,'ورودی برنامه'!$C$4:$C$16,C18)</f>
        <v>2300</v>
      </c>
      <c r="R18" s="5">
        <f>SUMIFS('ورودی برنامه'!$E$4:$E$16,'ورودی برنامه'!$A$4:$A$16,A18,'ورودی برنامه'!$C$4:$C$16,C18)</f>
        <v>4000</v>
      </c>
      <c r="S18" s="5">
        <f>ROUND(Q18*J18/K18*O18/100,10)</f>
        <v>18400</v>
      </c>
      <c r="T18" s="5">
        <f>ROUND(R18*J18/K18*O18/100,10)</f>
        <v>32000</v>
      </c>
      <c r="U18" s="5" t="n">
        <v>18400</v>
      </c>
      <c r="V18" s="5" t="n">
        <v>32000</v>
      </c>
    </row>
    <row r="19" ht="20" customHeight="1">
      <c r="A19" s="10" t="n">
        <v>1200011</v>
      </c>
      <c r="B19" s="11" t="inlineStr">
        <is>
          <t>ماژول RF Module_T312  کنترل ماشینی شده</t>
        </is>
      </c>
      <c r="C19" s="11" t="inlineStr">
        <is>
          <t>12000110104</t>
        </is>
      </c>
      <c r="D19" s="11" t="inlineStr">
        <is>
          <t>1405/04/29</t>
        </is>
      </c>
      <c r="E19" s="13" t="n"/>
      <c r="F19" s="10" t="n">
        <v>30627</v>
      </c>
      <c r="G19" s="10" t="n">
        <v>1110116</v>
      </c>
      <c r="H19" s="11" t="inlineStr">
        <is>
          <t>Capacitor 1.5NF,50V,10%,X7R</t>
        </is>
      </c>
      <c r="I19" s="11" t="inlineStr">
        <is>
          <t>عدد</t>
        </is>
      </c>
      <c r="J19" s="10" t="n">
        <v>1</v>
      </c>
      <c r="K19" s="10" t="n">
        <v>1</v>
      </c>
      <c r="L19" s="11" t="inlineStr">
        <is>
          <t>-</t>
        </is>
      </c>
      <c r="M19" s="13" t="n"/>
      <c r="N19" s="13" t="n"/>
      <c r="O19" s="10" t="n">
        <v>100</v>
      </c>
      <c r="P19" s="11" t="inlineStr">
        <is>
          <t>مصرف مستقیم</t>
        </is>
      </c>
      <c r="Q19" s="10">
        <f>SUMIFS('ورودی برنامه'!$D$4:$D$16,'ورودی برنامه'!$A$4:$A$16,A19,'ورودی برنامه'!$C$4:$C$16,C19)</f>
        <v>2300</v>
      </c>
      <c r="R19" s="10">
        <f>SUMIFS('ورودی برنامه'!$E$4:$E$16,'ورودی برنامه'!$A$4:$A$16,A19,'ورودی برنامه'!$C$4:$C$16,C19)</f>
        <v>4000</v>
      </c>
      <c r="S19" s="10">
        <f>ROUND(Q19*J19/K19*O19/100,10)</f>
        <v>2300</v>
      </c>
      <c r="T19" s="10">
        <f>ROUND(R19*J19/K19*O19/100,10)</f>
        <v>4000</v>
      </c>
      <c r="U19" s="10" t="n">
        <v>2300</v>
      </c>
      <c r="V19" s="10" t="n">
        <v>4000</v>
      </c>
    </row>
    <row r="20" ht="20" customHeight="1">
      <c r="A20" s="5" t="n">
        <v>1200011</v>
      </c>
      <c r="B20" s="6" t="inlineStr">
        <is>
          <t>ماژول RF Module_T312  کنترل ماشینی شده</t>
        </is>
      </c>
      <c r="C20" s="6" t="inlineStr">
        <is>
          <t>12000110104</t>
        </is>
      </c>
      <c r="D20" s="6" t="inlineStr">
        <is>
          <t>1405/04/29</t>
        </is>
      </c>
      <c r="E20" s="9" t="n"/>
      <c r="F20" s="5" t="n">
        <v>30651</v>
      </c>
      <c r="G20" s="5" t="n">
        <v>1110131</v>
      </c>
      <c r="H20" s="6" t="inlineStr">
        <is>
          <t>Capacitor 1nF,50V,10%,X7R(3008128</t>
        </is>
      </c>
      <c r="I20" s="6" t="inlineStr">
        <is>
          <t>عدد</t>
        </is>
      </c>
      <c r="J20" s="5" t="n">
        <v>2</v>
      </c>
      <c r="K20" s="5" t="n">
        <v>1</v>
      </c>
      <c r="L20" s="6" t="inlineStr">
        <is>
          <t>-</t>
        </is>
      </c>
      <c r="M20" s="9" t="n"/>
      <c r="N20" s="9" t="n"/>
      <c r="O20" s="5" t="n">
        <v>100</v>
      </c>
      <c r="P20" s="6" t="inlineStr">
        <is>
          <t>مصرف مستقیم</t>
        </is>
      </c>
      <c r="Q20" s="5">
        <f>SUMIFS('ورودی برنامه'!$D$4:$D$16,'ورودی برنامه'!$A$4:$A$16,A20,'ورودی برنامه'!$C$4:$C$16,C20)</f>
        <v>2300</v>
      </c>
      <c r="R20" s="5">
        <f>SUMIFS('ورودی برنامه'!$E$4:$E$16,'ورودی برنامه'!$A$4:$A$16,A20,'ورودی برنامه'!$C$4:$C$16,C20)</f>
        <v>4000</v>
      </c>
      <c r="S20" s="5">
        <f>ROUND(Q20*J20/K20*O20/100,10)</f>
        <v>4600</v>
      </c>
      <c r="T20" s="5">
        <f>ROUND(R20*J20/K20*O20/100,10)</f>
        <v>8000</v>
      </c>
      <c r="U20" s="5" t="n">
        <v>4600</v>
      </c>
      <c r="V20" s="5" t="n">
        <v>8000</v>
      </c>
    </row>
    <row r="21" ht="20" customHeight="1">
      <c r="A21" s="10" t="n">
        <v>1200011</v>
      </c>
      <c r="B21" s="11" t="inlineStr">
        <is>
          <t>ماژول RF Module_T312  کنترل ماشینی شده</t>
        </is>
      </c>
      <c r="C21" s="11" t="inlineStr">
        <is>
          <t>12000110104</t>
        </is>
      </c>
      <c r="D21" s="11" t="inlineStr">
        <is>
          <t>1405/04/29</t>
        </is>
      </c>
      <c r="E21" s="13" t="n"/>
      <c r="F21" s="10" t="n">
        <v>30664</v>
      </c>
      <c r="G21" s="10" t="n">
        <v>1110137</v>
      </c>
      <c r="H21" s="11" t="inlineStr">
        <is>
          <t>Capacitor 2.2PF,50V,±0.25pF,C0G</t>
        </is>
      </c>
      <c r="I21" s="11" t="inlineStr">
        <is>
          <t>عدد</t>
        </is>
      </c>
      <c r="J21" s="10" t="n">
        <v>1</v>
      </c>
      <c r="K21" s="10" t="n">
        <v>1</v>
      </c>
      <c r="L21" s="11" t="inlineStr">
        <is>
          <t>-</t>
        </is>
      </c>
      <c r="M21" s="13" t="n"/>
      <c r="N21" s="13" t="n"/>
      <c r="O21" s="10" t="n">
        <v>100</v>
      </c>
      <c r="P21" s="11" t="inlineStr">
        <is>
          <t>مصرف مستقیم</t>
        </is>
      </c>
      <c r="Q21" s="10">
        <f>SUMIFS('ورودی برنامه'!$D$4:$D$16,'ورودی برنامه'!$A$4:$A$16,A21,'ورودی برنامه'!$C$4:$C$16,C21)</f>
        <v>2300</v>
      </c>
      <c r="R21" s="10">
        <f>SUMIFS('ورودی برنامه'!$E$4:$E$16,'ورودی برنامه'!$A$4:$A$16,A21,'ورودی برنامه'!$C$4:$C$16,C21)</f>
        <v>4000</v>
      </c>
      <c r="S21" s="10">
        <f>ROUND(Q21*J21/K21*O21/100,10)</f>
        <v>2300</v>
      </c>
      <c r="T21" s="10">
        <f>ROUND(R21*J21/K21*O21/100,10)</f>
        <v>4000</v>
      </c>
      <c r="U21" s="10" t="n">
        <v>2300</v>
      </c>
      <c r="V21" s="10" t="n">
        <v>4000</v>
      </c>
    </row>
    <row r="22" ht="20" customHeight="1">
      <c r="A22" s="5" t="n">
        <v>1200011</v>
      </c>
      <c r="B22" s="6" t="inlineStr">
        <is>
          <t>ماژول RF Module_T312  کنترل ماشینی شده</t>
        </is>
      </c>
      <c r="C22" s="6" t="inlineStr">
        <is>
          <t>12000110104</t>
        </is>
      </c>
      <c r="D22" s="6" t="inlineStr">
        <is>
          <t>1405/04/29</t>
        </is>
      </c>
      <c r="E22" s="9" t="n"/>
      <c r="F22" s="5" t="n">
        <v>30679</v>
      </c>
      <c r="G22" s="5" t="n">
        <v>1110121</v>
      </c>
      <c r="H22" s="6" t="inlineStr">
        <is>
          <t>Capacitor 100PF,50V,5%,C0G</t>
        </is>
      </c>
      <c r="I22" s="6" t="inlineStr">
        <is>
          <t>عدد</t>
        </is>
      </c>
      <c r="J22" s="5" t="n">
        <v>1</v>
      </c>
      <c r="K22" s="5" t="n">
        <v>1</v>
      </c>
      <c r="L22" s="6" t="inlineStr">
        <is>
          <t>-</t>
        </is>
      </c>
      <c r="M22" s="9" t="n"/>
      <c r="N22" s="9" t="n"/>
      <c r="O22" s="5" t="n">
        <v>100</v>
      </c>
      <c r="P22" s="6" t="inlineStr">
        <is>
          <t>مصرف مستقیم</t>
        </is>
      </c>
      <c r="Q22" s="5">
        <f>SUMIFS('ورودی برنامه'!$D$4:$D$16,'ورودی برنامه'!$A$4:$A$16,A22,'ورودی برنامه'!$C$4:$C$16,C22)</f>
        <v>2300</v>
      </c>
      <c r="R22" s="5">
        <f>SUMIFS('ورودی برنامه'!$E$4:$E$16,'ورودی برنامه'!$A$4:$A$16,A22,'ورودی برنامه'!$C$4:$C$16,C22)</f>
        <v>4000</v>
      </c>
      <c r="S22" s="5">
        <f>ROUND(Q22*J22/K22*O22/100,10)</f>
        <v>2300</v>
      </c>
      <c r="T22" s="5">
        <f>ROUND(R22*J22/K22*O22/100,10)</f>
        <v>4000</v>
      </c>
      <c r="U22" s="5" t="n">
        <v>2300</v>
      </c>
      <c r="V22" s="5" t="n">
        <v>4000</v>
      </c>
    </row>
    <row r="23" ht="20" customHeight="1">
      <c r="A23" s="10" t="n">
        <v>1200011</v>
      </c>
      <c r="B23" s="11" t="inlineStr">
        <is>
          <t>ماژول RF Module_T312  کنترل ماشینی شده</t>
        </is>
      </c>
      <c r="C23" s="11" t="inlineStr">
        <is>
          <t>12000110104</t>
        </is>
      </c>
      <c r="D23" s="11" t="inlineStr">
        <is>
          <t>1405/04/29</t>
        </is>
      </c>
      <c r="E23" s="13" t="n"/>
      <c r="F23" s="10" t="n">
        <v>30707</v>
      </c>
      <c r="G23" s="10" t="n">
        <v>1110157</v>
      </c>
      <c r="H23" s="11" t="inlineStr">
        <is>
          <t>Capacitor 68PF,50V,5%,C0G</t>
        </is>
      </c>
      <c r="I23" s="11" t="inlineStr">
        <is>
          <t>عدد</t>
        </is>
      </c>
      <c r="J23" s="10" t="n">
        <v>1</v>
      </c>
      <c r="K23" s="10" t="n">
        <v>1</v>
      </c>
      <c r="L23" s="11" t="inlineStr">
        <is>
          <t>-</t>
        </is>
      </c>
      <c r="M23" s="13" t="n"/>
      <c r="N23" s="13" t="n"/>
      <c r="O23" s="10" t="n">
        <v>100</v>
      </c>
      <c r="P23" s="11" t="inlineStr">
        <is>
          <t>مصرف مستقیم</t>
        </is>
      </c>
      <c r="Q23" s="10">
        <f>SUMIFS('ورودی برنامه'!$D$4:$D$16,'ورودی برنامه'!$A$4:$A$16,A23,'ورودی برنامه'!$C$4:$C$16,C23)</f>
        <v>2300</v>
      </c>
      <c r="R23" s="10">
        <f>SUMIFS('ورودی برنامه'!$E$4:$E$16,'ورودی برنامه'!$A$4:$A$16,A23,'ورودی برنامه'!$C$4:$C$16,C23)</f>
        <v>4000</v>
      </c>
      <c r="S23" s="10">
        <f>ROUND(Q23*J23/K23*O23/100,10)</f>
        <v>2300</v>
      </c>
      <c r="T23" s="10">
        <f>ROUND(R23*J23/K23*O23/100,10)</f>
        <v>4000</v>
      </c>
      <c r="U23" s="10" t="n">
        <v>2300</v>
      </c>
      <c r="V23" s="10" t="n">
        <v>4000</v>
      </c>
    </row>
    <row r="24" ht="20" customHeight="1">
      <c r="A24" s="5" t="n">
        <v>1200011</v>
      </c>
      <c r="B24" s="6" t="inlineStr">
        <is>
          <t>ماژول RF Module_T312  کنترل ماشینی شده</t>
        </is>
      </c>
      <c r="C24" s="6" t="inlineStr">
        <is>
          <t>12000110104</t>
        </is>
      </c>
      <c r="D24" s="6" t="inlineStr">
        <is>
          <t>1405/04/29</t>
        </is>
      </c>
      <c r="E24" s="9" t="n"/>
      <c r="F24" s="5" t="n">
        <v>30728</v>
      </c>
      <c r="G24" s="5" t="n">
        <v>1110148</v>
      </c>
      <c r="H24" s="6" t="inlineStr">
        <is>
          <t>Capacitor 390PF,50V,5%,C0G</t>
        </is>
      </c>
      <c r="I24" s="6" t="inlineStr">
        <is>
          <t>عدد</t>
        </is>
      </c>
      <c r="J24" s="5" t="n">
        <v>1</v>
      </c>
      <c r="K24" s="5" t="n">
        <v>1</v>
      </c>
      <c r="L24" s="6" t="inlineStr">
        <is>
          <t>-</t>
        </is>
      </c>
      <c r="M24" s="9" t="n"/>
      <c r="N24" s="9" t="n"/>
      <c r="O24" s="5" t="n">
        <v>100</v>
      </c>
      <c r="P24" s="6" t="inlineStr">
        <is>
          <t>مصرف مستقیم</t>
        </is>
      </c>
      <c r="Q24" s="5">
        <f>SUMIFS('ورودی برنامه'!$D$4:$D$16,'ورودی برنامه'!$A$4:$A$16,A24,'ورودی برنامه'!$C$4:$C$16,C24)</f>
        <v>2300</v>
      </c>
      <c r="R24" s="5">
        <f>SUMIFS('ورودی برنامه'!$E$4:$E$16,'ورودی برنامه'!$A$4:$A$16,A24,'ورودی برنامه'!$C$4:$C$16,C24)</f>
        <v>4000</v>
      </c>
      <c r="S24" s="5">
        <f>ROUND(Q24*J24/K24*O24/100,10)</f>
        <v>2300</v>
      </c>
      <c r="T24" s="5">
        <f>ROUND(R24*J24/K24*O24/100,10)</f>
        <v>4000</v>
      </c>
      <c r="U24" s="5" t="n">
        <v>2300</v>
      </c>
      <c r="V24" s="5" t="n">
        <v>4000</v>
      </c>
    </row>
    <row r="25" ht="20" customHeight="1">
      <c r="A25" s="10" t="n">
        <v>1200011</v>
      </c>
      <c r="B25" s="11" t="inlineStr">
        <is>
          <t>ماژول RF Module_T312  کنترل ماشینی شده</t>
        </is>
      </c>
      <c r="C25" s="11" t="inlineStr">
        <is>
          <t>12000110104</t>
        </is>
      </c>
      <c r="D25" s="11" t="inlineStr">
        <is>
          <t>1405/04/29</t>
        </is>
      </c>
      <c r="E25" s="13" t="n"/>
      <c r="F25" s="10" t="n">
        <v>30729</v>
      </c>
      <c r="G25" s="10" t="n">
        <v>1111807</v>
      </c>
      <c r="H25" s="11" t="inlineStr">
        <is>
          <t>Inductor 15NH,5%</t>
        </is>
      </c>
      <c r="I25" s="11" t="inlineStr">
        <is>
          <t>عدد</t>
        </is>
      </c>
      <c r="J25" s="10" t="n">
        <v>1</v>
      </c>
      <c r="K25" s="10" t="n">
        <v>1</v>
      </c>
      <c r="L25" s="11" t="inlineStr">
        <is>
          <t>-</t>
        </is>
      </c>
      <c r="M25" s="13" t="n"/>
      <c r="N25" s="13" t="n"/>
      <c r="O25" s="10" t="n">
        <v>100</v>
      </c>
      <c r="P25" s="11" t="inlineStr">
        <is>
          <t>مصرف مستقیم</t>
        </is>
      </c>
      <c r="Q25" s="10">
        <f>SUMIFS('ورودی برنامه'!$D$4:$D$16,'ورودی برنامه'!$A$4:$A$16,A25,'ورودی برنامه'!$C$4:$C$16,C25)</f>
        <v>2300</v>
      </c>
      <c r="R25" s="10">
        <f>SUMIFS('ورودی برنامه'!$E$4:$E$16,'ورودی برنامه'!$A$4:$A$16,A25,'ورودی برنامه'!$C$4:$C$16,C25)</f>
        <v>4000</v>
      </c>
      <c r="S25" s="10">
        <f>ROUND(Q25*J25/K25*O25/100,10)</f>
        <v>2300</v>
      </c>
      <c r="T25" s="10">
        <f>ROUND(R25*J25/K25*O25/100,10)</f>
        <v>4000</v>
      </c>
      <c r="U25" s="10" t="n">
        <v>2300</v>
      </c>
      <c r="V25" s="10" t="n">
        <v>4000</v>
      </c>
    </row>
    <row r="26" ht="20" customHeight="1">
      <c r="A26" s="5" t="n">
        <v>1200011</v>
      </c>
      <c r="B26" s="6" t="inlineStr">
        <is>
          <t>ماژول RF Module_T312  کنترل ماشینی شده</t>
        </is>
      </c>
      <c r="C26" s="6" t="inlineStr">
        <is>
          <t>12000110104</t>
        </is>
      </c>
      <c r="D26" s="6" t="inlineStr">
        <is>
          <t>1405/04/29</t>
        </is>
      </c>
      <c r="E26" s="9" t="n"/>
      <c r="F26" s="5" t="n">
        <v>30763</v>
      </c>
      <c r="G26" s="5" t="n">
        <v>1111808</v>
      </c>
      <c r="H26" s="6" t="inlineStr">
        <is>
          <t>Inductor 43NH,5%</t>
        </is>
      </c>
      <c r="I26" s="6" t="inlineStr">
        <is>
          <t>عدد</t>
        </is>
      </c>
      <c r="J26" s="5" t="n">
        <v>1</v>
      </c>
      <c r="K26" s="5" t="n">
        <v>1</v>
      </c>
      <c r="L26" s="6" t="inlineStr">
        <is>
          <t>-</t>
        </is>
      </c>
      <c r="M26" s="9" t="n"/>
      <c r="N26" s="9" t="n"/>
      <c r="O26" s="5" t="n">
        <v>100</v>
      </c>
      <c r="P26" s="6" t="inlineStr">
        <is>
          <t>مصرف مستقیم</t>
        </is>
      </c>
      <c r="Q26" s="5">
        <f>SUMIFS('ورودی برنامه'!$D$4:$D$16,'ورودی برنامه'!$A$4:$A$16,A26,'ورودی برنامه'!$C$4:$C$16,C26)</f>
        <v>2300</v>
      </c>
      <c r="R26" s="5">
        <f>SUMIFS('ورودی برنامه'!$E$4:$E$16,'ورودی برنامه'!$A$4:$A$16,A26,'ورودی برنامه'!$C$4:$C$16,C26)</f>
        <v>4000</v>
      </c>
      <c r="S26" s="5">
        <f>ROUND(Q26*J26/K26*O26/100,10)</f>
        <v>2300</v>
      </c>
      <c r="T26" s="5">
        <f>ROUND(R26*J26/K26*O26/100,10)</f>
        <v>4000</v>
      </c>
      <c r="U26" s="5" t="n">
        <v>2300</v>
      </c>
      <c r="V26" s="5" t="n">
        <v>4000</v>
      </c>
    </row>
    <row r="27" ht="20" customHeight="1">
      <c r="A27" s="10" t="n">
        <v>1200011</v>
      </c>
      <c r="B27" s="11" t="inlineStr">
        <is>
          <t>ماژول RF Module_T312  کنترل ماشینی شده</t>
        </is>
      </c>
      <c r="C27" s="11" t="inlineStr">
        <is>
          <t>12000110104</t>
        </is>
      </c>
      <c r="D27" s="11" t="inlineStr">
        <is>
          <t>1405/04/29</t>
        </is>
      </c>
      <c r="E27" s="13" t="n"/>
      <c r="F27" s="10" t="n">
        <v>30764</v>
      </c>
      <c r="G27" s="10" t="n">
        <v>1110624</v>
      </c>
      <c r="H27" s="11" t="inlineStr">
        <is>
          <t>Transistor 2SC3838K</t>
        </is>
      </c>
      <c r="I27" s="11" t="inlineStr">
        <is>
          <t>عدد</t>
        </is>
      </c>
      <c r="J27" s="10" t="n">
        <v>1</v>
      </c>
      <c r="K27" s="10" t="n">
        <v>1</v>
      </c>
      <c r="L27" s="11" t="inlineStr">
        <is>
          <t>-</t>
        </is>
      </c>
      <c r="M27" s="13" t="n"/>
      <c r="N27" s="13" t="n"/>
      <c r="O27" s="10" t="n">
        <v>100</v>
      </c>
      <c r="P27" s="11" t="inlineStr">
        <is>
          <t>مصرف مستقیم</t>
        </is>
      </c>
      <c r="Q27" s="10">
        <f>SUMIFS('ورودی برنامه'!$D$4:$D$16,'ورودی برنامه'!$A$4:$A$16,A27,'ورودی برنامه'!$C$4:$C$16,C27)</f>
        <v>2300</v>
      </c>
      <c r="R27" s="10">
        <f>SUMIFS('ورودی برنامه'!$E$4:$E$16,'ورودی برنامه'!$A$4:$A$16,A27,'ورودی برنامه'!$C$4:$C$16,C27)</f>
        <v>4000</v>
      </c>
      <c r="S27" s="10">
        <f>ROUND(Q27*J27/K27*O27/100,10)</f>
        <v>2300</v>
      </c>
      <c r="T27" s="10">
        <f>ROUND(R27*J27/K27*O27/100,10)</f>
        <v>4000</v>
      </c>
      <c r="U27" s="10" t="n">
        <v>2300</v>
      </c>
      <c r="V27" s="10" t="n">
        <v>4000</v>
      </c>
    </row>
    <row r="28" ht="20" customHeight="1">
      <c r="A28" s="5" t="n">
        <v>1200011</v>
      </c>
      <c r="B28" s="6" t="inlineStr">
        <is>
          <t>ماژول RF Module_T312  کنترل ماشینی شده</t>
        </is>
      </c>
      <c r="C28" s="6" t="inlineStr">
        <is>
          <t>12000110104</t>
        </is>
      </c>
      <c r="D28" s="6" t="inlineStr">
        <is>
          <t>1405/04/29</t>
        </is>
      </c>
      <c r="E28" s="9" t="n"/>
      <c r="F28" s="5" t="n">
        <v>30788</v>
      </c>
      <c r="G28" s="5" t="n">
        <v>1110727</v>
      </c>
      <c r="H28" s="6" t="inlineStr">
        <is>
          <t>Resistor 33K,5%,1/10W</t>
        </is>
      </c>
      <c r="I28" s="6" t="inlineStr">
        <is>
          <t>عدد</t>
        </is>
      </c>
      <c r="J28" s="5" t="n">
        <v>1</v>
      </c>
      <c r="K28" s="5" t="n">
        <v>1</v>
      </c>
      <c r="L28" s="6" t="inlineStr">
        <is>
          <t>-</t>
        </is>
      </c>
      <c r="M28" s="9" t="n"/>
      <c r="N28" s="9" t="n"/>
      <c r="O28" s="5" t="n">
        <v>100</v>
      </c>
      <c r="P28" s="6" t="inlineStr">
        <is>
          <t>مصرف مستقیم</t>
        </is>
      </c>
      <c r="Q28" s="5">
        <f>SUMIFS('ورودی برنامه'!$D$4:$D$16,'ورودی برنامه'!$A$4:$A$16,A28,'ورودی برنامه'!$C$4:$C$16,C28)</f>
        <v>2300</v>
      </c>
      <c r="R28" s="5">
        <f>SUMIFS('ورودی برنامه'!$E$4:$E$16,'ورودی برنامه'!$A$4:$A$16,A28,'ورودی برنامه'!$C$4:$C$16,C28)</f>
        <v>4000</v>
      </c>
      <c r="S28" s="5">
        <f>ROUND(Q28*J28/K28*O28/100,10)</f>
        <v>2300</v>
      </c>
      <c r="T28" s="5">
        <f>ROUND(R28*J28/K28*O28/100,10)</f>
        <v>4000</v>
      </c>
      <c r="U28" s="5" t="n">
        <v>2300</v>
      </c>
      <c r="V28" s="5" t="n">
        <v>4000</v>
      </c>
    </row>
    <row r="29" ht="20" customHeight="1">
      <c r="A29" s="10" t="n">
        <v>1200011</v>
      </c>
      <c r="B29" s="11" t="inlineStr">
        <is>
          <t>ماژول RF Module_T312  کنترل ماشینی شده</t>
        </is>
      </c>
      <c r="C29" s="11" t="inlineStr">
        <is>
          <t>12000110104</t>
        </is>
      </c>
      <c r="D29" s="11" t="inlineStr">
        <is>
          <t>1405/04/29</t>
        </is>
      </c>
      <c r="E29" s="13" t="n"/>
      <c r="F29" s="10" t="n">
        <v>30810</v>
      </c>
      <c r="G29" s="10" t="n">
        <v>1110704</v>
      </c>
      <c r="H29" s="11" t="inlineStr">
        <is>
          <t>Resistor 120K,5%,1/10W</t>
        </is>
      </c>
      <c r="I29" s="11" t="inlineStr">
        <is>
          <t>عدد</t>
        </is>
      </c>
      <c r="J29" s="10" t="n">
        <v>1</v>
      </c>
      <c r="K29" s="10" t="n">
        <v>1</v>
      </c>
      <c r="L29" s="11" t="inlineStr">
        <is>
          <t>-</t>
        </is>
      </c>
      <c r="M29" s="13" t="n"/>
      <c r="N29" s="13" t="n"/>
      <c r="O29" s="10" t="n">
        <v>100</v>
      </c>
      <c r="P29" s="11" t="inlineStr">
        <is>
          <t>مصرف مستقیم</t>
        </is>
      </c>
      <c r="Q29" s="10">
        <f>SUMIFS('ورودی برنامه'!$D$4:$D$16,'ورودی برنامه'!$A$4:$A$16,A29,'ورودی برنامه'!$C$4:$C$16,C29)</f>
        <v>2300</v>
      </c>
      <c r="R29" s="10">
        <f>SUMIFS('ورودی برنامه'!$E$4:$E$16,'ورودی برنامه'!$A$4:$A$16,A29,'ورودی برنامه'!$C$4:$C$16,C29)</f>
        <v>4000</v>
      </c>
      <c r="S29" s="10">
        <f>ROUND(Q29*J29/K29*O29/100,10)</f>
        <v>2300</v>
      </c>
      <c r="T29" s="10">
        <f>ROUND(R29*J29/K29*O29/100,10)</f>
        <v>4000</v>
      </c>
      <c r="U29" s="10" t="n">
        <v>2300</v>
      </c>
      <c r="V29" s="10" t="n">
        <v>4000</v>
      </c>
    </row>
    <row r="30" ht="20" customHeight="1">
      <c r="A30" s="5" t="n">
        <v>1200011</v>
      </c>
      <c r="B30" s="6" t="inlineStr">
        <is>
          <t>ماژول RF Module_T312  کنترل ماشینی شده</t>
        </is>
      </c>
      <c r="C30" s="6" t="inlineStr">
        <is>
          <t>12000110104</t>
        </is>
      </c>
      <c r="D30" s="6" t="inlineStr">
        <is>
          <t>1405/04/29</t>
        </is>
      </c>
      <c r="E30" s="9" t="n"/>
      <c r="F30" s="5" t="n">
        <v>30821</v>
      </c>
      <c r="G30" s="5" t="n">
        <v>1110741</v>
      </c>
      <c r="H30" s="6" t="inlineStr">
        <is>
          <t>Resistor 68K,5%,1/10W</t>
        </is>
      </c>
      <c r="I30" s="6" t="inlineStr">
        <is>
          <t>عدد</t>
        </is>
      </c>
      <c r="J30" s="5" t="n">
        <v>2</v>
      </c>
      <c r="K30" s="5" t="n">
        <v>1</v>
      </c>
      <c r="L30" s="6" t="inlineStr">
        <is>
          <t>-</t>
        </is>
      </c>
      <c r="M30" s="9" t="n"/>
      <c r="N30" s="9" t="n"/>
      <c r="O30" s="5" t="n">
        <v>100</v>
      </c>
      <c r="P30" s="6" t="inlineStr">
        <is>
          <t>مصرف مستقیم</t>
        </is>
      </c>
      <c r="Q30" s="5">
        <f>SUMIFS('ورودی برنامه'!$D$4:$D$16,'ورودی برنامه'!$A$4:$A$16,A30,'ورودی برنامه'!$C$4:$C$16,C30)</f>
        <v>2300</v>
      </c>
      <c r="R30" s="5">
        <f>SUMIFS('ورودی برنامه'!$E$4:$E$16,'ورودی برنامه'!$A$4:$A$16,A30,'ورودی برنامه'!$C$4:$C$16,C30)</f>
        <v>4000</v>
      </c>
      <c r="S30" s="5">
        <f>ROUND(Q30*J30/K30*O30/100,10)</f>
        <v>4600</v>
      </c>
      <c r="T30" s="5">
        <f>ROUND(R30*J30/K30*O30/100,10)</f>
        <v>8000</v>
      </c>
      <c r="U30" s="5" t="n">
        <v>4600</v>
      </c>
      <c r="V30" s="5" t="n">
        <v>8000</v>
      </c>
    </row>
    <row r="31" ht="20" customHeight="1">
      <c r="A31" s="10" t="n">
        <v>1200011</v>
      </c>
      <c r="B31" s="11" t="inlineStr">
        <is>
          <t>ماژول RF Module_T312  کنترل ماشینی شده</t>
        </is>
      </c>
      <c r="C31" s="11" t="inlineStr">
        <is>
          <t>12000110104</t>
        </is>
      </c>
      <c r="D31" s="11" t="inlineStr">
        <is>
          <t>1405/04/29</t>
        </is>
      </c>
      <c r="E31" s="13" t="n"/>
      <c r="F31" s="10" t="n">
        <v>30826</v>
      </c>
      <c r="G31" s="10" t="n">
        <v>1110703</v>
      </c>
      <c r="H31" s="11" t="inlineStr">
        <is>
          <t>Resistor 10K,5%,1/10W(3008146</t>
        </is>
      </c>
      <c r="I31" s="11" t="inlineStr">
        <is>
          <t>عدد</t>
        </is>
      </c>
      <c r="J31" s="10" t="n">
        <v>1</v>
      </c>
      <c r="K31" s="10" t="n">
        <v>1</v>
      </c>
      <c r="L31" s="11" t="inlineStr">
        <is>
          <t>-</t>
        </is>
      </c>
      <c r="M31" s="13" t="n"/>
      <c r="N31" s="13" t="n"/>
      <c r="O31" s="10" t="n">
        <v>100</v>
      </c>
      <c r="P31" s="11" t="inlineStr">
        <is>
          <t>مصرف مستقیم</t>
        </is>
      </c>
      <c r="Q31" s="10">
        <f>SUMIFS('ورودی برنامه'!$D$4:$D$16,'ورودی برنامه'!$A$4:$A$16,A31,'ورودی برنامه'!$C$4:$C$16,C31)</f>
        <v>2300</v>
      </c>
      <c r="R31" s="10">
        <f>SUMIFS('ورودی برنامه'!$E$4:$E$16,'ورودی برنامه'!$A$4:$A$16,A31,'ورودی برنامه'!$C$4:$C$16,C31)</f>
        <v>4000</v>
      </c>
      <c r="S31" s="10">
        <f>ROUND(Q31*J31/K31*O31/100,10)</f>
        <v>2300</v>
      </c>
      <c r="T31" s="10">
        <f>ROUND(R31*J31/K31*O31/100,10)</f>
        <v>4000</v>
      </c>
      <c r="U31" s="10" t="n">
        <v>2300</v>
      </c>
      <c r="V31" s="10" t="n">
        <v>4000</v>
      </c>
    </row>
    <row r="32" ht="20" customHeight="1">
      <c r="A32" s="5" t="n">
        <v>1200011</v>
      </c>
      <c r="B32" s="6" t="inlineStr">
        <is>
          <t>ماژول RF Module_T312  کنترل ماشینی شده</t>
        </is>
      </c>
      <c r="C32" s="6" t="inlineStr">
        <is>
          <t>12000110104</t>
        </is>
      </c>
      <c r="D32" s="6" t="inlineStr">
        <is>
          <t>1405/04/29</t>
        </is>
      </c>
      <c r="E32" s="9" t="n"/>
      <c r="F32" s="5" t="n">
        <v>30865</v>
      </c>
      <c r="G32" s="5" t="n">
        <v>1110722</v>
      </c>
      <c r="H32" s="6" t="inlineStr">
        <is>
          <t>Resistor 3.9K,5%,1/10W</t>
        </is>
      </c>
      <c r="I32" s="6" t="inlineStr">
        <is>
          <t>عدد</t>
        </is>
      </c>
      <c r="J32" s="5" t="n">
        <v>1</v>
      </c>
      <c r="K32" s="5" t="n">
        <v>1</v>
      </c>
      <c r="L32" s="6" t="inlineStr">
        <is>
          <t>-</t>
        </is>
      </c>
      <c r="M32" s="9" t="n"/>
      <c r="N32" s="9" t="n"/>
      <c r="O32" s="5" t="n">
        <v>100</v>
      </c>
      <c r="P32" s="6" t="inlineStr">
        <is>
          <t>مصرف مستقیم</t>
        </is>
      </c>
      <c r="Q32" s="5">
        <f>SUMIFS('ورودی برنامه'!$D$4:$D$16,'ورودی برنامه'!$A$4:$A$16,A32,'ورودی برنامه'!$C$4:$C$16,C32)</f>
        <v>2300</v>
      </c>
      <c r="R32" s="5">
        <f>SUMIFS('ورودی برنامه'!$E$4:$E$16,'ورودی برنامه'!$A$4:$A$16,A32,'ورودی برنامه'!$C$4:$C$16,C32)</f>
        <v>4000</v>
      </c>
      <c r="S32" s="5">
        <f>ROUND(Q32*J32/K32*O32/100,10)</f>
        <v>2300</v>
      </c>
      <c r="T32" s="5">
        <f>ROUND(R32*J32/K32*O32/100,10)</f>
        <v>4000</v>
      </c>
      <c r="U32" s="5" t="n">
        <v>2300</v>
      </c>
      <c r="V32" s="5" t="n">
        <v>4000</v>
      </c>
    </row>
    <row r="33" ht="20" customHeight="1">
      <c r="A33" s="10" t="n">
        <v>1200011</v>
      </c>
      <c r="B33" s="11" t="inlineStr">
        <is>
          <t>ماژول RF Module_T312  کنترل ماشینی شده</t>
        </is>
      </c>
      <c r="C33" s="11" t="inlineStr">
        <is>
          <t>12000110104</t>
        </is>
      </c>
      <c r="D33" s="11" t="inlineStr">
        <is>
          <t>1405/04/29</t>
        </is>
      </c>
      <c r="E33" s="13" t="n"/>
      <c r="F33" s="10" t="n">
        <v>30883</v>
      </c>
      <c r="G33" s="10" t="n">
        <v>1110489</v>
      </c>
      <c r="H33" s="11" t="inlineStr">
        <is>
          <t>IC TA31275FNG</t>
        </is>
      </c>
      <c r="I33" s="11" t="inlineStr">
        <is>
          <t>عدد</t>
        </is>
      </c>
      <c r="J33" s="10" t="n">
        <v>1</v>
      </c>
      <c r="K33" s="10" t="n">
        <v>1</v>
      </c>
      <c r="L33" s="11" t="inlineStr">
        <is>
          <t>-</t>
        </is>
      </c>
      <c r="M33" s="13" t="n"/>
      <c r="N33" s="13" t="n"/>
      <c r="O33" s="10" t="n">
        <v>100</v>
      </c>
      <c r="P33" s="11" t="inlineStr">
        <is>
          <t>مصرف مستقیم</t>
        </is>
      </c>
      <c r="Q33" s="10">
        <f>SUMIFS('ورودی برنامه'!$D$4:$D$16,'ورودی برنامه'!$A$4:$A$16,A33,'ورودی برنامه'!$C$4:$C$16,C33)</f>
        <v>2300</v>
      </c>
      <c r="R33" s="10">
        <f>SUMIFS('ورودی برنامه'!$E$4:$E$16,'ورودی برنامه'!$A$4:$A$16,A33,'ورودی برنامه'!$C$4:$C$16,C33)</f>
        <v>4000</v>
      </c>
      <c r="S33" s="10">
        <f>ROUND(Q33*J33/K33*O33/100,10)</f>
        <v>2300</v>
      </c>
      <c r="T33" s="10">
        <f>ROUND(R33*J33/K33*O33/100,10)</f>
        <v>4000</v>
      </c>
      <c r="U33" s="10" t="n">
        <v>2300</v>
      </c>
      <c r="V33" s="10" t="n">
        <v>4000</v>
      </c>
    </row>
    <row r="34" ht="20" customHeight="1">
      <c r="A34" s="5" t="n">
        <v>1200011</v>
      </c>
      <c r="B34" s="6" t="inlineStr">
        <is>
          <t>ماژول RF Module_T312  کنترل ماشینی شده</t>
        </is>
      </c>
      <c r="C34" s="6" t="inlineStr">
        <is>
          <t>12000110104</t>
        </is>
      </c>
      <c r="D34" s="6" t="inlineStr">
        <is>
          <t>1405/04/29</t>
        </is>
      </c>
      <c r="E34" s="9" t="n"/>
      <c r="F34" s="5" t="n">
        <v>30886</v>
      </c>
      <c r="G34" s="5" t="n">
        <v>1111014</v>
      </c>
      <c r="H34" s="6" t="inlineStr">
        <is>
          <t>Crystal 52.9025MHZ</t>
        </is>
      </c>
      <c r="I34" s="6" t="inlineStr">
        <is>
          <t>عدد</t>
        </is>
      </c>
      <c r="J34" s="5" t="n">
        <v>1</v>
      </c>
      <c r="K34" s="5" t="n">
        <v>1</v>
      </c>
      <c r="L34" s="6" t="inlineStr">
        <is>
          <t>-</t>
        </is>
      </c>
      <c r="M34" s="9" t="n"/>
      <c r="N34" s="9" t="n"/>
      <c r="O34" s="5" t="n">
        <v>100</v>
      </c>
      <c r="P34" s="6" t="inlineStr">
        <is>
          <t>مصرف مستقیم</t>
        </is>
      </c>
      <c r="Q34" s="5">
        <f>SUMIFS('ورودی برنامه'!$D$4:$D$16,'ورودی برنامه'!$A$4:$A$16,A34,'ورودی برنامه'!$C$4:$C$16,C34)</f>
        <v>2300</v>
      </c>
      <c r="R34" s="5">
        <f>SUMIFS('ورودی برنامه'!$E$4:$E$16,'ورودی برنامه'!$A$4:$A$16,A34,'ورودی برنامه'!$C$4:$C$16,C34)</f>
        <v>4000</v>
      </c>
      <c r="S34" s="5">
        <f>ROUND(Q34*J34/K34*O34/100,10)</f>
        <v>2300</v>
      </c>
      <c r="T34" s="5">
        <f>ROUND(R34*J34/K34*O34/100,10)</f>
        <v>4000</v>
      </c>
      <c r="U34" s="5" t="n">
        <v>2300</v>
      </c>
      <c r="V34" s="5" t="n">
        <v>4000</v>
      </c>
    </row>
    <row r="35" ht="20" customHeight="1">
      <c r="A35" s="10" t="n">
        <v>1200011</v>
      </c>
      <c r="B35" s="11" t="inlineStr">
        <is>
          <t>ماژول RF Module_T312  کنترل ماشینی شده</t>
        </is>
      </c>
      <c r="C35" s="11" t="inlineStr">
        <is>
          <t>12000110104</t>
        </is>
      </c>
      <c r="D35" s="11" t="inlineStr">
        <is>
          <t>1405/04/29</t>
        </is>
      </c>
      <c r="E35" s="13" t="n"/>
      <c r="F35" s="10" t="n">
        <v>31216</v>
      </c>
      <c r="G35" s="10" t="n">
        <v>1110729</v>
      </c>
      <c r="H35" s="11" t="inlineStr">
        <is>
          <t>Resistor 36K,1%,1/16W</t>
        </is>
      </c>
      <c r="I35" s="11" t="inlineStr">
        <is>
          <t>عدد</t>
        </is>
      </c>
      <c r="J35" s="10" t="n">
        <v>2</v>
      </c>
      <c r="K35" s="10" t="n">
        <v>1</v>
      </c>
      <c r="L35" s="11" t="inlineStr">
        <is>
          <t>-</t>
        </is>
      </c>
      <c r="M35" s="13" t="n"/>
      <c r="N35" s="13" t="n"/>
      <c r="O35" s="10" t="n">
        <v>100</v>
      </c>
      <c r="P35" s="11" t="inlineStr">
        <is>
          <t>مصرف مستقیم</t>
        </is>
      </c>
      <c r="Q35" s="10">
        <f>SUMIFS('ورودی برنامه'!$D$4:$D$16,'ورودی برنامه'!$A$4:$A$16,A35,'ورودی برنامه'!$C$4:$C$16,C35)</f>
        <v>2300</v>
      </c>
      <c r="R35" s="10">
        <f>SUMIFS('ورودی برنامه'!$E$4:$E$16,'ورودی برنامه'!$A$4:$A$16,A35,'ورودی برنامه'!$C$4:$C$16,C35)</f>
        <v>4000</v>
      </c>
      <c r="S35" s="10">
        <f>ROUND(Q35*J35/K35*O35/100,10)</f>
        <v>4600</v>
      </c>
      <c r="T35" s="10">
        <f>ROUND(R35*J35/K35*O35/100,10)</f>
        <v>8000</v>
      </c>
      <c r="U35" s="10" t="n">
        <v>4600</v>
      </c>
      <c r="V35" s="10" t="n">
        <v>8000</v>
      </c>
    </row>
    <row r="36" ht="20" customHeight="1">
      <c r="A36" s="5" t="n">
        <v>1200011</v>
      </c>
      <c r="B36" s="6" t="inlineStr">
        <is>
          <t>ماژول RF Module_T312  کنترل ماشینی شده</t>
        </is>
      </c>
      <c r="C36" s="6" t="inlineStr">
        <is>
          <t>12000110104</t>
        </is>
      </c>
      <c r="D36" s="6" t="inlineStr">
        <is>
          <t>1405/04/29</t>
        </is>
      </c>
      <c r="E36" s="9" t="n"/>
      <c r="F36" s="5" t="n">
        <v>31219</v>
      </c>
      <c r="G36" s="5" t="n">
        <v>1113102</v>
      </c>
      <c r="H36" s="6" t="inlineStr">
        <is>
          <t>Ceramic Filters 330Ohm</t>
        </is>
      </c>
      <c r="I36" s="6" t="inlineStr">
        <is>
          <t>عدد</t>
        </is>
      </c>
      <c r="J36" s="5" t="n">
        <v>1</v>
      </c>
      <c r="K36" s="5" t="n">
        <v>1</v>
      </c>
      <c r="L36" s="6" t="inlineStr">
        <is>
          <t>-</t>
        </is>
      </c>
      <c r="M36" s="9" t="n"/>
      <c r="N36" s="9" t="n"/>
      <c r="O36" s="5" t="n">
        <v>100</v>
      </c>
      <c r="P36" s="6" t="inlineStr">
        <is>
          <t>مصرف مستقیم</t>
        </is>
      </c>
      <c r="Q36" s="5">
        <f>SUMIFS('ورودی برنامه'!$D$4:$D$16,'ورودی برنامه'!$A$4:$A$16,A36,'ورودی برنامه'!$C$4:$C$16,C36)</f>
        <v>2300</v>
      </c>
      <c r="R36" s="5">
        <f>SUMIFS('ورودی برنامه'!$E$4:$E$16,'ورودی برنامه'!$A$4:$A$16,A36,'ورودی برنامه'!$C$4:$C$16,C36)</f>
        <v>4000</v>
      </c>
      <c r="S36" s="5">
        <f>ROUND(Q36*J36/K36*O36/100,10)</f>
        <v>2300</v>
      </c>
      <c r="T36" s="5">
        <f>ROUND(R36*J36/K36*O36/100,10)</f>
        <v>4000</v>
      </c>
      <c r="U36" s="5" t="n">
        <v>2300</v>
      </c>
      <c r="V36" s="5" t="n">
        <v>4000</v>
      </c>
    </row>
    <row r="37" ht="20" customHeight="1">
      <c r="A37" s="10" t="n">
        <v>1200011</v>
      </c>
      <c r="B37" s="11" t="inlineStr">
        <is>
          <t>ماژول RF Module_T312  کنترل ماشینی شده</t>
        </is>
      </c>
      <c r="C37" s="11" t="inlineStr">
        <is>
          <t>12000110104</t>
        </is>
      </c>
      <c r="D37" s="11" t="inlineStr">
        <is>
          <t>1405/04/29</t>
        </is>
      </c>
      <c r="E37" s="13" t="n"/>
      <c r="F37" s="10" t="n">
        <v>31241</v>
      </c>
      <c r="G37" s="10" t="n">
        <v>1110707</v>
      </c>
      <c r="H37" s="11" t="inlineStr">
        <is>
          <t>Resistor 1K,5%,1/10W</t>
        </is>
      </c>
      <c r="I37" s="11" t="inlineStr">
        <is>
          <t>عدد</t>
        </is>
      </c>
      <c r="J37" s="10" t="n">
        <v>2</v>
      </c>
      <c r="K37" s="10" t="n">
        <v>1</v>
      </c>
      <c r="L37" s="11" t="inlineStr">
        <is>
          <t>-</t>
        </is>
      </c>
      <c r="M37" s="13" t="n"/>
      <c r="N37" s="13" t="n"/>
      <c r="O37" s="10" t="n">
        <v>100</v>
      </c>
      <c r="P37" s="11" t="inlineStr">
        <is>
          <t>مصرف مستقیم</t>
        </is>
      </c>
      <c r="Q37" s="10">
        <f>SUMIFS('ورودی برنامه'!$D$4:$D$16,'ورودی برنامه'!$A$4:$A$16,A37,'ورودی برنامه'!$C$4:$C$16,C37)</f>
        <v>2300</v>
      </c>
      <c r="R37" s="10">
        <f>SUMIFS('ورودی برنامه'!$E$4:$E$16,'ورودی برنامه'!$A$4:$A$16,A37,'ورودی برنامه'!$C$4:$C$16,C37)</f>
        <v>4000</v>
      </c>
      <c r="S37" s="10">
        <f>ROUND(Q37*J37/K37*O37/100,10)</f>
        <v>4600</v>
      </c>
      <c r="T37" s="10">
        <f>ROUND(R37*J37/K37*O37/100,10)</f>
        <v>8000</v>
      </c>
      <c r="U37" s="10" t="n">
        <v>4600</v>
      </c>
      <c r="V37" s="10" t="n">
        <v>8000</v>
      </c>
    </row>
    <row r="38" ht="20" customHeight="1">
      <c r="A38" s="5" t="n">
        <v>1200151</v>
      </c>
      <c r="B38" s="6" t="inlineStr">
        <is>
          <t>درایو کولر BLDC کنترل ماشینی شده</t>
        </is>
      </c>
      <c r="C38" s="6" t="inlineStr">
        <is>
          <t>12001510106</t>
        </is>
      </c>
      <c r="D38" s="6" t="inlineStr">
        <is>
          <t>1404/05/20</t>
        </is>
      </c>
      <c r="E38" s="9" t="n"/>
      <c r="F38" s="5" t="n">
        <v>705</v>
      </c>
      <c r="G38" s="5" t="n">
        <v>1101035</v>
      </c>
      <c r="H38" s="6" t="inlineStr">
        <is>
          <t>Resistor 10,1%,1/10W</t>
        </is>
      </c>
      <c r="I38" s="6" t="inlineStr">
        <is>
          <t>عدد</t>
        </is>
      </c>
      <c r="J38" s="5" t="n">
        <v>1</v>
      </c>
      <c r="K38" s="5" t="n">
        <v>1</v>
      </c>
      <c r="L38" s="6" t="inlineStr">
        <is>
          <t>-</t>
        </is>
      </c>
      <c r="M38" s="9" t="n"/>
      <c r="N38" s="9" t="n"/>
      <c r="O38" s="5" t="n">
        <v>100</v>
      </c>
      <c r="P38" s="6" t="inlineStr">
        <is>
          <t>مصرف مستقیم</t>
        </is>
      </c>
      <c r="Q38" s="5">
        <f>SUMIFS('ورودی برنامه'!$D$4:$D$16,'ورودی برنامه'!$A$4:$A$16,A38,'ورودی برنامه'!$C$4:$C$16,C38)</f>
        <v>1500</v>
      </c>
      <c r="R38" s="5">
        <f>SUMIFS('ورودی برنامه'!$E$4:$E$16,'ورودی برنامه'!$A$4:$A$16,A38,'ورودی برنامه'!$C$4:$C$16,C38)</f>
        <v>0</v>
      </c>
      <c r="S38" s="5">
        <f>ROUND(Q38*J38/K38*O38/100,10)</f>
        <v>1500</v>
      </c>
      <c r="T38" s="5">
        <f>ROUND(R38*J38/K38*O38/100,10)</f>
        <v>0</v>
      </c>
      <c r="U38" s="5" t="n">
        <v>1500</v>
      </c>
      <c r="V38" s="5" t="n">
        <v>0</v>
      </c>
    </row>
    <row r="39" ht="20" customHeight="1">
      <c r="A39" s="10" t="n">
        <v>1200151</v>
      </c>
      <c r="B39" s="11" t="inlineStr">
        <is>
          <t>درایو کولر BLDC کنترل ماشینی شده</t>
        </is>
      </c>
      <c r="C39" s="11" t="inlineStr">
        <is>
          <t>12001510106</t>
        </is>
      </c>
      <c r="D39" s="11" t="inlineStr">
        <is>
          <t>1404/05/20</t>
        </is>
      </c>
      <c r="E39" s="13" t="n"/>
      <c r="F39" s="10" t="n">
        <v>831</v>
      </c>
      <c r="G39" s="10" t="n">
        <v>1101041</v>
      </c>
      <c r="H39" s="11" t="inlineStr">
        <is>
          <t>Resistor 2.2K,5%,1/10W</t>
        </is>
      </c>
      <c r="I39" s="11" t="inlineStr">
        <is>
          <t>عدد</t>
        </is>
      </c>
      <c r="J39" s="10" t="n">
        <v>8</v>
      </c>
      <c r="K39" s="10" t="n">
        <v>1</v>
      </c>
      <c r="L39" s="11" t="inlineStr">
        <is>
          <t>-</t>
        </is>
      </c>
      <c r="M39" s="13" t="n"/>
      <c r="N39" s="13" t="n"/>
      <c r="O39" s="10" t="n">
        <v>100</v>
      </c>
      <c r="P39" s="11" t="inlineStr">
        <is>
          <t>مصرف مستقیم</t>
        </is>
      </c>
      <c r="Q39" s="10">
        <f>SUMIFS('ورودی برنامه'!$D$4:$D$16,'ورودی برنامه'!$A$4:$A$16,A39,'ورودی برنامه'!$C$4:$C$16,C39)</f>
        <v>1500</v>
      </c>
      <c r="R39" s="10">
        <f>SUMIFS('ورودی برنامه'!$E$4:$E$16,'ورودی برنامه'!$A$4:$A$16,A39,'ورودی برنامه'!$C$4:$C$16,C39)</f>
        <v>0</v>
      </c>
      <c r="S39" s="10">
        <f>ROUND(Q39*J39/K39*O39/100,10)</f>
        <v>12000</v>
      </c>
      <c r="T39" s="10">
        <f>ROUND(R39*J39/K39*O39/100,10)</f>
        <v>0</v>
      </c>
      <c r="U39" s="10" t="n">
        <v>12000</v>
      </c>
      <c r="V39" s="10" t="n">
        <v>0</v>
      </c>
    </row>
    <row r="40" ht="20" customHeight="1">
      <c r="A40" s="5" t="n">
        <v>1200151</v>
      </c>
      <c r="B40" s="6" t="inlineStr">
        <is>
          <t>درایو کولر BLDC کنترل ماشینی شده</t>
        </is>
      </c>
      <c r="C40" s="6" t="inlineStr">
        <is>
          <t>12001510106</t>
        </is>
      </c>
      <c r="D40" s="6" t="inlineStr">
        <is>
          <t>1404/05/20</t>
        </is>
      </c>
      <c r="E40" s="9" t="n"/>
      <c r="F40" s="5" t="n">
        <v>2968</v>
      </c>
      <c r="G40" s="5" t="n">
        <v>1110845</v>
      </c>
      <c r="H40" s="6" t="inlineStr">
        <is>
          <t>LED, RED LS Q976.01-N1Q2-1</t>
        </is>
      </c>
      <c r="I40" s="6" t="inlineStr">
        <is>
          <t>عدد(شمارشی)</t>
        </is>
      </c>
      <c r="J40" s="5" t="n">
        <v>3</v>
      </c>
      <c r="K40" s="5" t="n">
        <v>1</v>
      </c>
      <c r="L40" s="6" t="inlineStr">
        <is>
          <t>-</t>
        </is>
      </c>
      <c r="M40" s="9" t="n"/>
      <c r="N40" s="9" t="n"/>
      <c r="O40" s="5" t="n">
        <v>100</v>
      </c>
      <c r="P40" s="6" t="inlineStr">
        <is>
          <t>مصرف مستقیم</t>
        </is>
      </c>
      <c r="Q40" s="5">
        <f>SUMIFS('ورودی برنامه'!$D$4:$D$16,'ورودی برنامه'!$A$4:$A$16,A40,'ورودی برنامه'!$C$4:$C$16,C40)</f>
        <v>1500</v>
      </c>
      <c r="R40" s="5">
        <f>SUMIFS('ورودی برنامه'!$E$4:$E$16,'ورودی برنامه'!$A$4:$A$16,A40,'ورودی برنامه'!$C$4:$C$16,C40)</f>
        <v>0</v>
      </c>
      <c r="S40" s="5">
        <f>ROUND(Q40*J40/K40*O40/100,10)</f>
        <v>4500</v>
      </c>
      <c r="T40" s="5">
        <f>ROUND(R40*J40/K40*O40/100,10)</f>
        <v>0</v>
      </c>
      <c r="U40" s="5" t="n">
        <v>4500</v>
      </c>
      <c r="V40" s="5" t="n">
        <v>0</v>
      </c>
    </row>
    <row r="41" ht="20" customHeight="1">
      <c r="A41" s="10" t="n">
        <v>1200151</v>
      </c>
      <c r="B41" s="11" t="inlineStr">
        <is>
          <t>درایو کولر BLDC کنترل ماشینی شده</t>
        </is>
      </c>
      <c r="C41" s="11" t="inlineStr">
        <is>
          <t>12001510106</t>
        </is>
      </c>
      <c r="D41" s="11" t="inlineStr">
        <is>
          <t>1404/05/20</t>
        </is>
      </c>
      <c r="E41" s="13" t="n"/>
      <c r="F41" s="10" t="n">
        <v>3809</v>
      </c>
      <c r="G41" s="10" t="n">
        <v>1102009</v>
      </c>
      <c r="H41" s="11" t="inlineStr">
        <is>
          <t>Capacitor 470P,50V,5%,NP0 0603</t>
        </is>
      </c>
      <c r="I41" s="11" t="inlineStr">
        <is>
          <t>عدد(شمارشی)</t>
        </is>
      </c>
      <c r="J41" s="10" t="n">
        <v>4</v>
      </c>
      <c r="K41" s="10" t="n">
        <v>1</v>
      </c>
      <c r="L41" s="11" t="inlineStr">
        <is>
          <t>-</t>
        </is>
      </c>
      <c r="M41" s="13" t="n"/>
      <c r="N41" s="13" t="n"/>
      <c r="O41" s="10" t="n">
        <v>100</v>
      </c>
      <c r="P41" s="11" t="inlineStr">
        <is>
          <t>مصرف مستقیم</t>
        </is>
      </c>
      <c r="Q41" s="10">
        <f>SUMIFS('ورودی برنامه'!$D$4:$D$16,'ورودی برنامه'!$A$4:$A$16,A41,'ورودی برنامه'!$C$4:$C$16,C41)</f>
        <v>1500</v>
      </c>
      <c r="R41" s="10">
        <f>SUMIFS('ورودی برنامه'!$E$4:$E$16,'ورودی برنامه'!$A$4:$A$16,A41,'ورودی برنامه'!$C$4:$C$16,C41)</f>
        <v>0</v>
      </c>
      <c r="S41" s="10">
        <f>ROUND(Q41*J41/K41*O41/100,10)</f>
        <v>6000</v>
      </c>
      <c r="T41" s="10">
        <f>ROUND(R41*J41/K41*O41/100,10)</f>
        <v>0</v>
      </c>
      <c r="U41" s="10" t="n">
        <v>6000</v>
      </c>
      <c r="V41" s="10" t="n">
        <v>0</v>
      </c>
    </row>
    <row r="42" ht="20" customHeight="1">
      <c r="A42" s="5" t="n">
        <v>1200151</v>
      </c>
      <c r="B42" s="6" t="inlineStr">
        <is>
          <t>درایو کولر BLDC کنترل ماشینی شده</t>
        </is>
      </c>
      <c r="C42" s="6" t="inlineStr">
        <is>
          <t>12001510106</t>
        </is>
      </c>
      <c r="D42" s="6" t="inlineStr">
        <is>
          <t>1404/05/20</t>
        </is>
      </c>
      <c r="E42" s="9" t="n"/>
      <c r="F42" s="5" t="n">
        <v>4112</v>
      </c>
      <c r="G42" s="5" t="n">
        <v>1100251</v>
      </c>
      <c r="H42" s="6" t="inlineStr">
        <is>
          <t>PCB FAN  DRIVER BLDC</t>
        </is>
      </c>
      <c r="I42" s="6" t="inlineStr">
        <is>
          <t>عدد(شمارشی)</t>
        </is>
      </c>
      <c r="J42" s="5" t="n">
        <v>1</v>
      </c>
      <c r="K42" s="5" t="n">
        <v>1</v>
      </c>
      <c r="L42" s="6" t="inlineStr">
        <is>
          <t>-</t>
        </is>
      </c>
      <c r="M42" s="9" t="n"/>
      <c r="N42" s="9" t="n"/>
      <c r="O42" s="5" t="n">
        <v>100</v>
      </c>
      <c r="P42" s="6" t="inlineStr">
        <is>
          <t>مصرف مستقیم</t>
        </is>
      </c>
      <c r="Q42" s="5">
        <f>SUMIFS('ورودی برنامه'!$D$4:$D$16,'ورودی برنامه'!$A$4:$A$16,A42,'ورودی برنامه'!$C$4:$C$16,C42)</f>
        <v>1500</v>
      </c>
      <c r="R42" s="5">
        <f>SUMIFS('ورودی برنامه'!$E$4:$E$16,'ورودی برنامه'!$A$4:$A$16,A42,'ورودی برنامه'!$C$4:$C$16,C42)</f>
        <v>0</v>
      </c>
      <c r="S42" s="5">
        <f>ROUND(Q42*J42/K42*O42/100,10)</f>
        <v>1500</v>
      </c>
      <c r="T42" s="5">
        <f>ROUND(R42*J42/K42*O42/100,10)</f>
        <v>0</v>
      </c>
      <c r="U42" s="5" t="n">
        <v>1500</v>
      </c>
      <c r="V42" s="5" t="n">
        <v>0</v>
      </c>
    </row>
    <row r="43" ht="20" customHeight="1">
      <c r="A43" s="10" t="n">
        <v>1200151</v>
      </c>
      <c r="B43" s="11" t="inlineStr">
        <is>
          <t>درایو کولر BLDC کنترل ماشینی شده</t>
        </is>
      </c>
      <c r="C43" s="11" t="inlineStr">
        <is>
          <t>12001510106</t>
        </is>
      </c>
      <c r="D43" s="11" t="inlineStr">
        <is>
          <t>1404/05/20</t>
        </is>
      </c>
      <c r="E43" s="13" t="n"/>
      <c r="F43" s="10" t="n">
        <v>4129</v>
      </c>
      <c r="G43" s="10" t="n">
        <v>1103003</v>
      </c>
      <c r="H43" s="11" t="inlineStr">
        <is>
          <t>LED, GREEN JK-1608YGC</t>
        </is>
      </c>
      <c r="I43" s="11" t="inlineStr">
        <is>
          <t>عدد(شمارشی)</t>
        </is>
      </c>
      <c r="J43" s="10" t="n">
        <v>2</v>
      </c>
      <c r="K43" s="10" t="n">
        <v>1</v>
      </c>
      <c r="L43" s="11" t="inlineStr">
        <is>
          <t>-</t>
        </is>
      </c>
      <c r="M43" s="13" t="n"/>
      <c r="N43" s="13" t="n"/>
      <c r="O43" s="10" t="n">
        <v>100</v>
      </c>
      <c r="P43" s="11" t="inlineStr">
        <is>
          <t>مصرف مستقیم</t>
        </is>
      </c>
      <c r="Q43" s="10">
        <f>SUMIFS('ورودی برنامه'!$D$4:$D$16,'ورودی برنامه'!$A$4:$A$16,A43,'ورودی برنامه'!$C$4:$C$16,C43)</f>
        <v>1500</v>
      </c>
      <c r="R43" s="10">
        <f>SUMIFS('ورودی برنامه'!$E$4:$E$16,'ورودی برنامه'!$A$4:$A$16,A43,'ورودی برنامه'!$C$4:$C$16,C43)</f>
        <v>0</v>
      </c>
      <c r="S43" s="10">
        <f>ROUND(Q43*J43/K43*O43/100,10)</f>
        <v>3000</v>
      </c>
      <c r="T43" s="10">
        <f>ROUND(R43*J43/K43*O43/100,10)</f>
        <v>0</v>
      </c>
      <c r="U43" s="10" t="n">
        <v>3000</v>
      </c>
      <c r="V43" s="10" t="n">
        <v>0</v>
      </c>
    </row>
    <row r="44" ht="20" customHeight="1">
      <c r="A44" s="5" t="n">
        <v>1200151</v>
      </c>
      <c r="B44" s="6" t="inlineStr">
        <is>
          <t>درایو کولر BLDC کنترل ماشینی شده</t>
        </is>
      </c>
      <c r="C44" s="6" t="inlineStr">
        <is>
          <t>12001510106</t>
        </is>
      </c>
      <c r="D44" s="6" t="inlineStr">
        <is>
          <t>1404/05/20</t>
        </is>
      </c>
      <c r="E44" s="9" t="n"/>
      <c r="F44" s="5" t="n">
        <v>4142</v>
      </c>
      <c r="G44" s="5" t="n">
        <v>1101914</v>
      </c>
      <c r="H44" s="6" t="inlineStr">
        <is>
          <t>Diode 1N4148WS-E3-08</t>
        </is>
      </c>
      <c r="I44" s="6" t="inlineStr">
        <is>
          <t>عدد(شمارشی)</t>
        </is>
      </c>
      <c r="J44" s="5" t="n">
        <v>14</v>
      </c>
      <c r="K44" s="5" t="n">
        <v>1</v>
      </c>
      <c r="L44" s="6" t="inlineStr">
        <is>
          <t>-</t>
        </is>
      </c>
      <c r="M44" s="9" t="n"/>
      <c r="N44" s="9" t="n"/>
      <c r="O44" s="5" t="n">
        <v>100</v>
      </c>
      <c r="P44" s="6" t="inlineStr">
        <is>
          <t>مصرف مستقیم</t>
        </is>
      </c>
      <c r="Q44" s="5">
        <f>SUMIFS('ورودی برنامه'!$D$4:$D$16,'ورودی برنامه'!$A$4:$A$16,A44,'ورودی برنامه'!$C$4:$C$16,C44)</f>
        <v>1500</v>
      </c>
      <c r="R44" s="5">
        <f>SUMIFS('ورودی برنامه'!$E$4:$E$16,'ورودی برنامه'!$A$4:$A$16,A44,'ورودی برنامه'!$C$4:$C$16,C44)</f>
        <v>0</v>
      </c>
      <c r="S44" s="5">
        <f>ROUND(Q44*J44/K44*O44/100,10)</f>
        <v>21000</v>
      </c>
      <c r="T44" s="5">
        <f>ROUND(R44*J44/K44*O44/100,10)</f>
        <v>0</v>
      </c>
      <c r="U44" s="5" t="n">
        <v>21000</v>
      </c>
      <c r="V44" s="5" t="n">
        <v>0</v>
      </c>
    </row>
    <row r="45" ht="20" customHeight="1">
      <c r="A45" s="10" t="n">
        <v>1200151</v>
      </c>
      <c r="B45" s="11" t="inlineStr">
        <is>
          <t>درایو کولر BLDC کنترل ماشینی شده</t>
        </is>
      </c>
      <c r="C45" s="11" t="inlineStr">
        <is>
          <t>12001510106</t>
        </is>
      </c>
      <c r="D45" s="11" t="inlineStr">
        <is>
          <t>1404/05/20</t>
        </is>
      </c>
      <c r="E45" s="13" t="n"/>
      <c r="F45" s="10" t="n">
        <v>4248</v>
      </c>
      <c r="G45" s="10" t="n">
        <v>1102021</v>
      </c>
      <c r="H45" s="11" t="inlineStr">
        <is>
          <t>Capacitor, MLCC,10U,25V,20%,105°C</t>
        </is>
      </c>
      <c r="I45" s="11" t="inlineStr">
        <is>
          <t>عدد(شمارشی)</t>
        </is>
      </c>
      <c r="J45" s="10" t="n">
        <v>6</v>
      </c>
      <c r="K45" s="10" t="n">
        <v>1</v>
      </c>
      <c r="L45" s="11" t="inlineStr">
        <is>
          <t>-</t>
        </is>
      </c>
      <c r="M45" s="13" t="n"/>
      <c r="N45" s="13" t="n"/>
      <c r="O45" s="10" t="n">
        <v>100</v>
      </c>
      <c r="P45" s="11" t="inlineStr">
        <is>
          <t>مصرف مستقیم</t>
        </is>
      </c>
      <c r="Q45" s="10">
        <f>SUMIFS('ورودی برنامه'!$D$4:$D$16,'ورودی برنامه'!$A$4:$A$16,A45,'ورودی برنامه'!$C$4:$C$16,C45)</f>
        <v>1500</v>
      </c>
      <c r="R45" s="10">
        <f>SUMIFS('ورودی برنامه'!$E$4:$E$16,'ورودی برنامه'!$A$4:$A$16,A45,'ورودی برنامه'!$C$4:$C$16,C45)</f>
        <v>0</v>
      </c>
      <c r="S45" s="10">
        <f>ROUND(Q45*J45/K45*O45/100,10)</f>
        <v>9000</v>
      </c>
      <c r="T45" s="10">
        <f>ROUND(R45*J45/K45*O45/100,10)</f>
        <v>0</v>
      </c>
      <c r="U45" s="10" t="n">
        <v>9000</v>
      </c>
      <c r="V45" s="10" t="n">
        <v>0</v>
      </c>
    </row>
    <row r="46" ht="20" customHeight="1">
      <c r="A46" s="5" t="n">
        <v>1200151</v>
      </c>
      <c r="B46" s="6" t="inlineStr">
        <is>
          <t>درایو کولر BLDC کنترل ماشینی شده</t>
        </is>
      </c>
      <c r="C46" s="6" t="inlineStr">
        <is>
          <t>12001510106</t>
        </is>
      </c>
      <c r="D46" s="6" t="inlineStr">
        <is>
          <t>1404/05/20</t>
        </is>
      </c>
      <c r="E46" s="9" t="n"/>
      <c r="F46" s="5" t="n">
        <v>4279</v>
      </c>
      <c r="G46" s="5" t="n">
        <v>1102022</v>
      </c>
      <c r="H46" s="6" t="inlineStr">
        <is>
          <t>Capacitor 100p, X7R,1000V,10%</t>
        </is>
      </c>
      <c r="I46" s="6" t="inlineStr">
        <is>
          <t>عدد(شمارشی)</t>
        </is>
      </c>
      <c r="J46" s="5" t="n">
        <v>1</v>
      </c>
      <c r="K46" s="5" t="n">
        <v>1</v>
      </c>
      <c r="L46" s="6" t="inlineStr">
        <is>
          <t>1</t>
        </is>
      </c>
      <c r="M46" s="5" t="n">
        <v>1</v>
      </c>
      <c r="N46" s="5" t="n">
        <v>100</v>
      </c>
      <c r="O46" s="5" t="n">
        <v>100</v>
      </c>
      <c r="P46" s="6" t="inlineStr">
        <is>
          <t>۱۰۰٪ تکراری؛ فقط اولویت اول</t>
        </is>
      </c>
      <c r="Q46" s="5">
        <f>SUMIFS('ورودی برنامه'!$D$4:$D$16,'ورودی برنامه'!$A$4:$A$16,A46,'ورودی برنامه'!$C$4:$C$16,C46)</f>
        <v>1500</v>
      </c>
      <c r="R46" s="5">
        <f>SUMIFS('ورودی برنامه'!$E$4:$E$16,'ورودی برنامه'!$A$4:$A$16,A46,'ورودی برنامه'!$C$4:$C$16,C46)</f>
        <v>0</v>
      </c>
      <c r="S46" s="5">
        <f>ROUND(Q46*J46/K46*O46/100,10)</f>
        <v>1500</v>
      </c>
      <c r="T46" s="5">
        <f>ROUND(R46*J46/K46*O46/100,10)</f>
        <v>0</v>
      </c>
      <c r="U46" s="5" t="n">
        <v>1500</v>
      </c>
      <c r="V46" s="5" t="n">
        <v>0</v>
      </c>
    </row>
    <row r="47" ht="20" customHeight="1">
      <c r="A47" s="10" t="n">
        <v>1200151</v>
      </c>
      <c r="B47" s="11" t="inlineStr">
        <is>
          <t>درایو کولر BLDC کنترل ماشینی شده</t>
        </is>
      </c>
      <c r="C47" s="11" t="inlineStr">
        <is>
          <t>12001510106</t>
        </is>
      </c>
      <c r="D47" s="11" t="inlineStr">
        <is>
          <t>1404/05/20</t>
        </is>
      </c>
      <c r="E47" s="13" t="n"/>
      <c r="F47" s="10" t="n">
        <v>4295</v>
      </c>
      <c r="G47" s="10" t="n">
        <v>1102023</v>
      </c>
      <c r="H47" s="11" t="inlineStr">
        <is>
          <t>Capacitor 2.2N, X7R,50V,10%</t>
        </is>
      </c>
      <c r="I47" s="11" t="inlineStr">
        <is>
          <t>عدد(شمارشی)</t>
        </is>
      </c>
      <c r="J47" s="10" t="n">
        <v>2</v>
      </c>
      <c r="K47" s="10" t="n">
        <v>1</v>
      </c>
      <c r="L47" s="11" t="inlineStr">
        <is>
          <t>-</t>
        </is>
      </c>
      <c r="M47" s="13" t="n"/>
      <c r="N47" s="13" t="n"/>
      <c r="O47" s="10" t="n">
        <v>100</v>
      </c>
      <c r="P47" s="11" t="inlineStr">
        <is>
          <t>مصرف مستقیم</t>
        </is>
      </c>
      <c r="Q47" s="10">
        <f>SUMIFS('ورودی برنامه'!$D$4:$D$16,'ورودی برنامه'!$A$4:$A$16,A47,'ورودی برنامه'!$C$4:$C$16,C47)</f>
        <v>1500</v>
      </c>
      <c r="R47" s="10">
        <f>SUMIFS('ورودی برنامه'!$E$4:$E$16,'ورودی برنامه'!$A$4:$A$16,A47,'ورودی برنامه'!$C$4:$C$16,C47)</f>
        <v>0</v>
      </c>
      <c r="S47" s="10">
        <f>ROUND(Q47*J47/K47*O47/100,10)</f>
        <v>3000</v>
      </c>
      <c r="T47" s="10">
        <f>ROUND(R47*J47/K47*O47/100,10)</f>
        <v>0</v>
      </c>
      <c r="U47" s="10" t="n">
        <v>3000</v>
      </c>
      <c r="V47" s="10" t="n">
        <v>0</v>
      </c>
    </row>
    <row r="48" ht="20" customHeight="1">
      <c r="A48" s="5" t="n">
        <v>1200151</v>
      </c>
      <c r="B48" s="6" t="inlineStr">
        <is>
          <t>درایو کولر BLDC کنترل ماشینی شده</t>
        </is>
      </c>
      <c r="C48" s="6" t="inlineStr">
        <is>
          <t>12001510106</t>
        </is>
      </c>
      <c r="D48" s="6" t="inlineStr">
        <is>
          <t>1404/05/20</t>
        </is>
      </c>
      <c r="E48" s="9" t="n"/>
      <c r="F48" s="5" t="n">
        <v>4296</v>
      </c>
      <c r="G48" s="5" t="n">
        <v>1101913</v>
      </c>
      <c r="H48" s="6" t="inlineStr">
        <is>
          <t>Diode BZT52-C13</t>
        </is>
      </c>
      <c r="I48" s="6" t="inlineStr">
        <is>
          <t>عدد(شمارشی)</t>
        </is>
      </c>
      <c r="J48" s="5" t="n">
        <v>1</v>
      </c>
      <c r="K48" s="5" t="n">
        <v>1</v>
      </c>
      <c r="L48" s="6" t="inlineStr">
        <is>
          <t>-</t>
        </is>
      </c>
      <c r="M48" s="9" t="n"/>
      <c r="N48" s="9" t="n"/>
      <c r="O48" s="5" t="n">
        <v>100</v>
      </c>
      <c r="P48" s="6" t="inlineStr">
        <is>
          <t>مصرف مستقیم</t>
        </is>
      </c>
      <c r="Q48" s="5">
        <f>SUMIFS('ورودی برنامه'!$D$4:$D$16,'ورودی برنامه'!$A$4:$A$16,A48,'ورودی برنامه'!$C$4:$C$16,C48)</f>
        <v>1500</v>
      </c>
      <c r="R48" s="5">
        <f>SUMIFS('ورودی برنامه'!$E$4:$E$16,'ورودی برنامه'!$A$4:$A$16,A48,'ورودی برنامه'!$C$4:$C$16,C48)</f>
        <v>0</v>
      </c>
      <c r="S48" s="5">
        <f>ROUND(Q48*J48/K48*O48/100,10)</f>
        <v>1500</v>
      </c>
      <c r="T48" s="5">
        <f>ROUND(R48*J48/K48*O48/100,10)</f>
        <v>0</v>
      </c>
      <c r="U48" s="5" t="n">
        <v>1500</v>
      </c>
      <c r="V48" s="5" t="n">
        <v>0</v>
      </c>
    </row>
    <row r="49" ht="20" customHeight="1">
      <c r="A49" s="10" t="n">
        <v>1200151</v>
      </c>
      <c r="B49" s="11" t="inlineStr">
        <is>
          <t>درایو کولر BLDC کنترل ماشینی شده</t>
        </is>
      </c>
      <c r="C49" s="11" t="inlineStr">
        <is>
          <t>12001510106</t>
        </is>
      </c>
      <c r="D49" s="11" t="inlineStr">
        <is>
          <t>1404/05/20</t>
        </is>
      </c>
      <c r="E49" s="13" t="n"/>
      <c r="F49" s="10" t="n">
        <v>4309</v>
      </c>
      <c r="G49" s="10" t="n">
        <v>1101912</v>
      </c>
      <c r="H49" s="11" t="inlineStr">
        <is>
          <t>Diode MM1Z5245BH</t>
        </is>
      </c>
      <c r="I49" s="11" t="inlineStr">
        <is>
          <t>عدد(شمارشی)</t>
        </is>
      </c>
      <c r="J49" s="10" t="n">
        <v>4</v>
      </c>
      <c r="K49" s="10" t="n">
        <v>1</v>
      </c>
      <c r="L49" s="11" t="inlineStr">
        <is>
          <t>-</t>
        </is>
      </c>
      <c r="M49" s="13" t="n"/>
      <c r="N49" s="13" t="n"/>
      <c r="O49" s="10" t="n">
        <v>100</v>
      </c>
      <c r="P49" s="11" t="inlineStr">
        <is>
          <t>مصرف مستقیم</t>
        </is>
      </c>
      <c r="Q49" s="10">
        <f>SUMIFS('ورودی برنامه'!$D$4:$D$16,'ورودی برنامه'!$A$4:$A$16,A49,'ورودی برنامه'!$C$4:$C$16,C49)</f>
        <v>1500</v>
      </c>
      <c r="R49" s="10">
        <f>SUMIFS('ورودی برنامه'!$E$4:$E$16,'ورودی برنامه'!$A$4:$A$16,A49,'ورودی برنامه'!$C$4:$C$16,C49)</f>
        <v>0</v>
      </c>
      <c r="S49" s="10">
        <f>ROUND(Q49*J49/K49*O49/100,10)</f>
        <v>6000</v>
      </c>
      <c r="T49" s="10">
        <f>ROUND(R49*J49/K49*O49/100,10)</f>
        <v>0</v>
      </c>
      <c r="U49" s="10" t="n">
        <v>6000</v>
      </c>
      <c r="V49" s="10" t="n">
        <v>0</v>
      </c>
    </row>
    <row r="50" ht="20" customHeight="1">
      <c r="A50" s="5" t="n">
        <v>1200151</v>
      </c>
      <c r="B50" s="6" t="inlineStr">
        <is>
          <t>درایو کولر BLDC کنترل ماشینی شده</t>
        </is>
      </c>
      <c r="C50" s="6" t="inlineStr">
        <is>
          <t>12001510106</t>
        </is>
      </c>
      <c r="D50" s="6" t="inlineStr">
        <is>
          <t>1404/05/20</t>
        </is>
      </c>
      <c r="E50" s="9" t="n"/>
      <c r="F50" s="5" t="n">
        <v>4342</v>
      </c>
      <c r="G50" s="5" t="n">
        <v>1111080</v>
      </c>
      <c r="H50" s="6" t="inlineStr">
        <is>
          <t>MOSFET IRLML6402PowerTrench</t>
        </is>
      </c>
      <c r="I50" s="6" t="inlineStr">
        <is>
          <t>عدد(شمارشی)</t>
        </is>
      </c>
      <c r="J50" s="5" t="n">
        <v>1</v>
      </c>
      <c r="K50" s="5" t="n">
        <v>1</v>
      </c>
      <c r="L50" s="6" t="inlineStr">
        <is>
          <t>-</t>
        </is>
      </c>
      <c r="M50" s="9" t="n"/>
      <c r="N50" s="9" t="n"/>
      <c r="O50" s="5" t="n">
        <v>100</v>
      </c>
      <c r="P50" s="6" t="inlineStr">
        <is>
          <t>مصرف مستقیم</t>
        </is>
      </c>
      <c r="Q50" s="5">
        <f>SUMIFS('ورودی برنامه'!$D$4:$D$16,'ورودی برنامه'!$A$4:$A$16,A50,'ورودی برنامه'!$C$4:$C$16,C50)</f>
        <v>1500</v>
      </c>
      <c r="R50" s="5">
        <f>SUMIFS('ورودی برنامه'!$E$4:$E$16,'ورودی برنامه'!$A$4:$A$16,A50,'ورودی برنامه'!$C$4:$C$16,C50)</f>
        <v>0</v>
      </c>
      <c r="S50" s="5">
        <f>ROUND(Q50*J50/K50*O50/100,10)</f>
        <v>1500</v>
      </c>
      <c r="T50" s="5">
        <f>ROUND(R50*J50/K50*O50/100,10)</f>
        <v>0</v>
      </c>
      <c r="U50" s="5" t="n">
        <v>1500</v>
      </c>
      <c r="V50" s="5" t="n">
        <v>0</v>
      </c>
    </row>
    <row r="51" ht="20" customHeight="1">
      <c r="A51" s="10" t="n">
        <v>1200151</v>
      </c>
      <c r="B51" s="11" t="inlineStr">
        <is>
          <t>درایو کولر BLDC کنترل ماشینی شده</t>
        </is>
      </c>
      <c r="C51" s="11" t="inlineStr">
        <is>
          <t>12001510106</t>
        </is>
      </c>
      <c r="D51" s="11" t="inlineStr">
        <is>
          <t>1404/05/20</t>
        </is>
      </c>
      <c r="E51" s="13" t="n"/>
      <c r="F51" s="10" t="n">
        <v>4343</v>
      </c>
      <c r="G51" s="10" t="n">
        <v>1101911</v>
      </c>
      <c r="H51" s="11" t="inlineStr">
        <is>
          <t>Diode SF20D600D2</t>
        </is>
      </c>
      <c r="I51" s="11" t="inlineStr">
        <is>
          <t>عدد(شمارشی)</t>
        </is>
      </c>
      <c r="J51" s="10" t="n">
        <v>1</v>
      </c>
      <c r="K51" s="10" t="n">
        <v>1</v>
      </c>
      <c r="L51" s="11" t="inlineStr">
        <is>
          <t>-</t>
        </is>
      </c>
      <c r="M51" s="13" t="n"/>
      <c r="N51" s="13" t="n"/>
      <c r="O51" s="10" t="n">
        <v>100</v>
      </c>
      <c r="P51" s="11" t="inlineStr">
        <is>
          <t>مصرف مستقیم</t>
        </is>
      </c>
      <c r="Q51" s="10">
        <f>SUMIFS('ورودی برنامه'!$D$4:$D$16,'ورودی برنامه'!$A$4:$A$16,A51,'ورودی برنامه'!$C$4:$C$16,C51)</f>
        <v>1500</v>
      </c>
      <c r="R51" s="10">
        <f>SUMIFS('ورودی برنامه'!$E$4:$E$16,'ورودی برنامه'!$A$4:$A$16,A51,'ورودی برنامه'!$C$4:$C$16,C51)</f>
        <v>0</v>
      </c>
      <c r="S51" s="10">
        <f>ROUND(Q51*J51/K51*O51/100,10)</f>
        <v>1500</v>
      </c>
      <c r="T51" s="10">
        <f>ROUND(R51*J51/K51*O51/100,10)</f>
        <v>0</v>
      </c>
      <c r="U51" s="10" t="n">
        <v>1500</v>
      </c>
      <c r="V51" s="10" t="n">
        <v>0</v>
      </c>
    </row>
    <row r="52" ht="20" customHeight="1">
      <c r="A52" s="5" t="n">
        <v>1200151</v>
      </c>
      <c r="B52" s="6" t="inlineStr">
        <is>
          <t>درایو کولر BLDC کنترل ماشینی شده</t>
        </is>
      </c>
      <c r="C52" s="6" t="inlineStr">
        <is>
          <t>12001510106</t>
        </is>
      </c>
      <c r="D52" s="6" t="inlineStr">
        <is>
          <t>1404/05/20</t>
        </is>
      </c>
      <c r="E52" s="9" t="n"/>
      <c r="F52" s="5" t="n">
        <v>4359</v>
      </c>
      <c r="G52" s="5" t="n">
        <v>1101071</v>
      </c>
      <c r="H52" s="6" t="inlineStr">
        <is>
          <t>Resistor NTC, 10KOHMS, 1%, SMD</t>
        </is>
      </c>
      <c r="I52" s="6" t="inlineStr">
        <is>
          <t>عدد(شمارشی)</t>
        </is>
      </c>
      <c r="J52" s="5" t="n">
        <v>1</v>
      </c>
      <c r="K52" s="5" t="n">
        <v>1</v>
      </c>
      <c r="L52" s="6" t="inlineStr">
        <is>
          <t>-</t>
        </is>
      </c>
      <c r="M52" s="9" t="n"/>
      <c r="N52" s="9" t="n"/>
      <c r="O52" s="5" t="n">
        <v>100</v>
      </c>
      <c r="P52" s="6" t="inlineStr">
        <is>
          <t>مصرف مستقیم</t>
        </is>
      </c>
      <c r="Q52" s="5">
        <f>SUMIFS('ورودی برنامه'!$D$4:$D$16,'ورودی برنامه'!$A$4:$A$16,A52,'ورودی برنامه'!$C$4:$C$16,C52)</f>
        <v>1500</v>
      </c>
      <c r="R52" s="5">
        <f>SUMIFS('ورودی برنامه'!$E$4:$E$16,'ورودی برنامه'!$A$4:$A$16,A52,'ورودی برنامه'!$C$4:$C$16,C52)</f>
        <v>0</v>
      </c>
      <c r="S52" s="5">
        <f>ROUND(Q52*J52/K52*O52/100,10)</f>
        <v>1500</v>
      </c>
      <c r="T52" s="5">
        <f>ROUND(R52*J52/K52*O52/100,10)</f>
        <v>0</v>
      </c>
      <c r="U52" s="5" t="n">
        <v>1500</v>
      </c>
      <c r="V52" s="5" t="n">
        <v>0</v>
      </c>
    </row>
    <row r="53" ht="20" customHeight="1">
      <c r="A53" s="10" t="n">
        <v>1200151</v>
      </c>
      <c r="B53" s="11" t="inlineStr">
        <is>
          <t>درایو کولر BLDC کنترل ماشینی شده</t>
        </is>
      </c>
      <c r="C53" s="11" t="inlineStr">
        <is>
          <t>12001510106</t>
        </is>
      </c>
      <c r="D53" s="11" t="inlineStr">
        <is>
          <t>1404/05/20</t>
        </is>
      </c>
      <c r="E53" s="13" t="n"/>
      <c r="F53" s="10" t="n">
        <v>4388</v>
      </c>
      <c r="G53" s="10" t="n">
        <v>1111081</v>
      </c>
      <c r="H53" s="11" t="inlineStr">
        <is>
          <t>Mosfet HCW60R150</t>
        </is>
      </c>
      <c r="I53" s="11" t="inlineStr">
        <is>
          <t>عدد(شمارشی)</t>
        </is>
      </c>
      <c r="J53" s="10" t="n">
        <v>1</v>
      </c>
      <c r="K53" s="10" t="n">
        <v>1</v>
      </c>
      <c r="L53" s="11" t="inlineStr">
        <is>
          <t>-</t>
        </is>
      </c>
      <c r="M53" s="13" t="n"/>
      <c r="N53" s="13" t="n"/>
      <c r="O53" s="10" t="n">
        <v>100</v>
      </c>
      <c r="P53" s="11" t="inlineStr">
        <is>
          <t>مصرف مستقیم</t>
        </is>
      </c>
      <c r="Q53" s="10">
        <f>SUMIFS('ورودی برنامه'!$D$4:$D$16,'ورودی برنامه'!$A$4:$A$16,A53,'ورودی برنامه'!$C$4:$C$16,C53)</f>
        <v>1500</v>
      </c>
      <c r="R53" s="10">
        <f>SUMIFS('ورودی برنامه'!$E$4:$E$16,'ورودی برنامه'!$A$4:$A$16,A53,'ورودی برنامه'!$C$4:$C$16,C53)</f>
        <v>0</v>
      </c>
      <c r="S53" s="10">
        <f>ROUND(Q53*J53/K53*O53/100,10)</f>
        <v>1500</v>
      </c>
      <c r="T53" s="10">
        <f>ROUND(R53*J53/K53*O53/100,10)</f>
        <v>0</v>
      </c>
      <c r="U53" s="10" t="n">
        <v>1500</v>
      </c>
      <c r="V53" s="10" t="n">
        <v>0</v>
      </c>
    </row>
    <row r="54" ht="20" customHeight="1">
      <c r="A54" s="5" t="n">
        <v>1200151</v>
      </c>
      <c r="B54" s="6" t="inlineStr">
        <is>
          <t>درایو کولر BLDC کنترل ماشینی شده</t>
        </is>
      </c>
      <c r="C54" s="6" t="inlineStr">
        <is>
          <t>12001510106</t>
        </is>
      </c>
      <c r="D54" s="6" t="inlineStr">
        <is>
          <t>1404/05/20</t>
        </is>
      </c>
      <c r="E54" s="9" t="n"/>
      <c r="F54" s="5" t="n">
        <v>4401</v>
      </c>
      <c r="G54" s="5" t="n">
        <v>1101107</v>
      </c>
      <c r="H54" s="6" t="inlineStr">
        <is>
          <t>Resistor,330,5%,1/10W</t>
        </is>
      </c>
      <c r="I54" s="6" t="inlineStr">
        <is>
          <t>عدد(شمارشی)</t>
        </is>
      </c>
      <c r="J54" s="5" t="n">
        <v>1</v>
      </c>
      <c r="K54" s="5" t="n">
        <v>1</v>
      </c>
      <c r="L54" s="6" t="inlineStr">
        <is>
          <t>-</t>
        </is>
      </c>
      <c r="M54" s="9" t="n"/>
      <c r="N54" s="9" t="n"/>
      <c r="O54" s="5" t="n">
        <v>100</v>
      </c>
      <c r="P54" s="6" t="inlineStr">
        <is>
          <t>مصرف مستقیم</t>
        </is>
      </c>
      <c r="Q54" s="5">
        <f>SUMIFS('ورودی برنامه'!$D$4:$D$16,'ورودی برنامه'!$A$4:$A$16,A54,'ورودی برنامه'!$C$4:$C$16,C54)</f>
        <v>1500</v>
      </c>
      <c r="R54" s="5">
        <f>SUMIFS('ورودی برنامه'!$E$4:$E$16,'ورودی برنامه'!$A$4:$A$16,A54,'ورودی برنامه'!$C$4:$C$16,C54)</f>
        <v>0</v>
      </c>
      <c r="S54" s="5">
        <f>ROUND(Q54*J54/K54*O54/100,10)</f>
        <v>1500</v>
      </c>
      <c r="T54" s="5">
        <f>ROUND(R54*J54/K54*O54/100,10)</f>
        <v>0</v>
      </c>
      <c r="U54" s="5" t="n">
        <v>1500</v>
      </c>
      <c r="V54" s="5" t="n">
        <v>0</v>
      </c>
    </row>
    <row r="55" ht="20" customHeight="1">
      <c r="A55" s="10" t="n">
        <v>1200151</v>
      </c>
      <c r="B55" s="11" t="inlineStr">
        <is>
          <t>درایو کولر BLDC کنترل ماشینی شده</t>
        </is>
      </c>
      <c r="C55" s="11" t="inlineStr">
        <is>
          <t>12001510106</t>
        </is>
      </c>
      <c r="D55" s="11" t="inlineStr">
        <is>
          <t>1404/05/20</t>
        </is>
      </c>
      <c r="E55" s="13" t="n"/>
      <c r="F55" s="10" t="n">
        <v>4402</v>
      </c>
      <c r="G55" s="10" t="n">
        <v>1101108</v>
      </c>
      <c r="H55" s="11" t="inlineStr">
        <is>
          <t>Resistor, 10,5%,1W</t>
        </is>
      </c>
      <c r="I55" s="11" t="inlineStr">
        <is>
          <t>عدد(شمارشی)</t>
        </is>
      </c>
      <c r="J55" s="10" t="n">
        <v>1</v>
      </c>
      <c r="K55" s="10" t="n">
        <v>1</v>
      </c>
      <c r="L55" s="11" t="inlineStr">
        <is>
          <t>-</t>
        </is>
      </c>
      <c r="M55" s="13" t="n"/>
      <c r="N55" s="13" t="n"/>
      <c r="O55" s="10" t="n">
        <v>100</v>
      </c>
      <c r="P55" s="11" t="inlineStr">
        <is>
          <t>مصرف مستقیم</t>
        </is>
      </c>
      <c r="Q55" s="10">
        <f>SUMIFS('ورودی برنامه'!$D$4:$D$16,'ورودی برنامه'!$A$4:$A$16,A55,'ورودی برنامه'!$C$4:$C$16,C55)</f>
        <v>1500</v>
      </c>
      <c r="R55" s="10">
        <f>SUMIFS('ورودی برنامه'!$E$4:$E$16,'ورودی برنامه'!$A$4:$A$16,A55,'ورودی برنامه'!$C$4:$C$16,C55)</f>
        <v>0</v>
      </c>
      <c r="S55" s="10">
        <f>ROUND(Q55*J55/K55*O55/100,10)</f>
        <v>1500</v>
      </c>
      <c r="T55" s="10">
        <f>ROUND(R55*J55/K55*O55/100,10)</f>
        <v>0</v>
      </c>
      <c r="U55" s="10" t="n">
        <v>1500</v>
      </c>
      <c r="V55" s="10" t="n">
        <v>0</v>
      </c>
    </row>
    <row r="56" ht="20" customHeight="1">
      <c r="A56" s="5" t="n">
        <v>1200151</v>
      </c>
      <c r="B56" s="6" t="inlineStr">
        <is>
          <t>درایو کولر BLDC کنترل ماشینی شده</t>
        </is>
      </c>
      <c r="C56" s="6" t="inlineStr">
        <is>
          <t>12001510106</t>
        </is>
      </c>
      <c r="D56" s="6" t="inlineStr">
        <is>
          <t>1404/05/20</t>
        </is>
      </c>
      <c r="E56" s="9" t="n"/>
      <c r="F56" s="5" t="n">
        <v>4415</v>
      </c>
      <c r="G56" s="5" t="n">
        <v>1101109</v>
      </c>
      <c r="H56" s="6" t="inlineStr">
        <is>
          <t>Resistor, 510,1%,1/10W</t>
        </is>
      </c>
      <c r="I56" s="6" t="inlineStr">
        <is>
          <t>عدد(شمارشی)</t>
        </is>
      </c>
      <c r="J56" s="5" t="n">
        <v>5</v>
      </c>
      <c r="K56" s="5" t="n">
        <v>1</v>
      </c>
      <c r="L56" s="6" t="inlineStr">
        <is>
          <t>-</t>
        </is>
      </c>
      <c r="M56" s="9" t="n"/>
      <c r="N56" s="9" t="n"/>
      <c r="O56" s="5" t="n">
        <v>100</v>
      </c>
      <c r="P56" s="6" t="inlineStr">
        <is>
          <t>مصرف مستقیم</t>
        </is>
      </c>
      <c r="Q56" s="5">
        <f>SUMIFS('ورودی برنامه'!$D$4:$D$16,'ورودی برنامه'!$A$4:$A$16,A56,'ورودی برنامه'!$C$4:$C$16,C56)</f>
        <v>1500</v>
      </c>
      <c r="R56" s="5">
        <f>SUMIFS('ورودی برنامه'!$E$4:$E$16,'ورودی برنامه'!$A$4:$A$16,A56,'ورودی برنامه'!$C$4:$C$16,C56)</f>
        <v>0</v>
      </c>
      <c r="S56" s="5">
        <f>ROUND(Q56*J56/K56*O56/100,10)</f>
        <v>7500</v>
      </c>
      <c r="T56" s="5">
        <f>ROUND(R56*J56/K56*O56/100,10)</f>
        <v>0</v>
      </c>
      <c r="U56" s="5" t="n">
        <v>7500</v>
      </c>
      <c r="V56" s="5" t="n">
        <v>0</v>
      </c>
    </row>
    <row r="57" ht="20" customHeight="1">
      <c r="A57" s="10" t="n">
        <v>1200151</v>
      </c>
      <c r="B57" s="11" t="inlineStr">
        <is>
          <t>درایو کولر BLDC کنترل ماشینی شده</t>
        </is>
      </c>
      <c r="C57" s="11" t="inlineStr">
        <is>
          <t>12001510106</t>
        </is>
      </c>
      <c r="D57" s="11" t="inlineStr">
        <is>
          <t>1404/05/20</t>
        </is>
      </c>
      <c r="E57" s="13" t="n"/>
      <c r="F57" s="10" t="n">
        <v>4416</v>
      </c>
      <c r="G57" s="10" t="n">
        <v>1101110</v>
      </c>
      <c r="H57" s="11" t="inlineStr">
        <is>
          <t>Resistor, 240K,1%,1/10W</t>
        </is>
      </c>
      <c r="I57" s="11" t="inlineStr">
        <is>
          <t>عدد(شمارشی)</t>
        </is>
      </c>
      <c r="J57" s="10" t="n">
        <v>1</v>
      </c>
      <c r="K57" s="10" t="n">
        <v>1</v>
      </c>
      <c r="L57" s="11" t="inlineStr">
        <is>
          <t>-</t>
        </is>
      </c>
      <c r="M57" s="13" t="n"/>
      <c r="N57" s="13" t="n"/>
      <c r="O57" s="10" t="n">
        <v>100</v>
      </c>
      <c r="P57" s="11" t="inlineStr">
        <is>
          <t>مصرف مستقیم</t>
        </is>
      </c>
      <c r="Q57" s="10">
        <f>SUMIFS('ورودی برنامه'!$D$4:$D$16,'ورودی برنامه'!$A$4:$A$16,A57,'ورودی برنامه'!$C$4:$C$16,C57)</f>
        <v>1500</v>
      </c>
      <c r="R57" s="10">
        <f>SUMIFS('ورودی برنامه'!$E$4:$E$16,'ورودی برنامه'!$A$4:$A$16,A57,'ورودی برنامه'!$C$4:$C$16,C57)</f>
        <v>0</v>
      </c>
      <c r="S57" s="10">
        <f>ROUND(Q57*J57/K57*O57/100,10)</f>
        <v>1500</v>
      </c>
      <c r="T57" s="10">
        <f>ROUND(R57*J57/K57*O57/100,10)</f>
        <v>0</v>
      </c>
      <c r="U57" s="10" t="n">
        <v>1500</v>
      </c>
      <c r="V57" s="10" t="n">
        <v>0</v>
      </c>
    </row>
    <row r="58" ht="20" customHeight="1">
      <c r="A58" s="5" t="n">
        <v>1200151</v>
      </c>
      <c r="B58" s="6" t="inlineStr">
        <is>
          <t>درایو کولر BLDC کنترل ماشینی شده</t>
        </is>
      </c>
      <c r="C58" s="6" t="inlineStr">
        <is>
          <t>12001510106</t>
        </is>
      </c>
      <c r="D58" s="6" t="inlineStr">
        <is>
          <t>1404/05/20</t>
        </is>
      </c>
      <c r="E58" s="9" t="n"/>
      <c r="F58" s="5" t="n">
        <v>4429</v>
      </c>
      <c r="G58" s="5" t="n">
        <v>1101111</v>
      </c>
      <c r="H58" s="6" t="inlineStr">
        <is>
          <t>Resistor, 1M,1%,1/4W</t>
        </is>
      </c>
      <c r="I58" s="6" t="inlineStr">
        <is>
          <t>عدد(شمارشی)</t>
        </is>
      </c>
      <c r="J58" s="5" t="n">
        <v>8</v>
      </c>
      <c r="K58" s="5" t="n">
        <v>1</v>
      </c>
      <c r="L58" s="6" t="inlineStr">
        <is>
          <t>-</t>
        </is>
      </c>
      <c r="M58" s="9" t="n"/>
      <c r="N58" s="9" t="n"/>
      <c r="O58" s="5" t="n">
        <v>100</v>
      </c>
      <c r="P58" s="6" t="inlineStr">
        <is>
          <t>مصرف مستقیم</t>
        </is>
      </c>
      <c r="Q58" s="5">
        <f>SUMIFS('ورودی برنامه'!$D$4:$D$16,'ورودی برنامه'!$A$4:$A$16,A58,'ورودی برنامه'!$C$4:$C$16,C58)</f>
        <v>1500</v>
      </c>
      <c r="R58" s="5">
        <f>SUMIFS('ورودی برنامه'!$E$4:$E$16,'ورودی برنامه'!$A$4:$A$16,A58,'ورودی برنامه'!$C$4:$C$16,C58)</f>
        <v>0</v>
      </c>
      <c r="S58" s="5">
        <f>ROUND(Q58*J58/K58*O58/100,10)</f>
        <v>12000</v>
      </c>
      <c r="T58" s="5">
        <f>ROUND(R58*J58/K58*O58/100,10)</f>
        <v>0</v>
      </c>
      <c r="U58" s="5" t="n">
        <v>12000</v>
      </c>
      <c r="V58" s="5" t="n">
        <v>0</v>
      </c>
    </row>
    <row r="59" ht="20" customHeight="1">
      <c r="A59" s="10" t="n">
        <v>1200151</v>
      </c>
      <c r="B59" s="11" t="inlineStr">
        <is>
          <t>درایو کولر BLDC کنترل ماشینی شده</t>
        </is>
      </c>
      <c r="C59" s="11" t="inlineStr">
        <is>
          <t>12001510106</t>
        </is>
      </c>
      <c r="D59" s="11" t="inlineStr">
        <is>
          <t>1404/05/20</t>
        </is>
      </c>
      <c r="E59" s="13" t="n"/>
      <c r="F59" s="10" t="n">
        <v>4430</v>
      </c>
      <c r="G59" s="10" t="n">
        <v>1101112</v>
      </c>
      <c r="H59" s="11" t="inlineStr">
        <is>
          <t>Resistor, 200,5%,1/10W</t>
        </is>
      </c>
      <c r="I59" s="11" t="inlineStr">
        <is>
          <t>عدد(شمارشی)</t>
        </is>
      </c>
      <c r="J59" s="10" t="n">
        <v>1</v>
      </c>
      <c r="K59" s="10" t="n">
        <v>1</v>
      </c>
      <c r="L59" s="11" t="inlineStr">
        <is>
          <t>-</t>
        </is>
      </c>
      <c r="M59" s="13" t="n"/>
      <c r="N59" s="13" t="n"/>
      <c r="O59" s="10" t="n">
        <v>100</v>
      </c>
      <c r="P59" s="11" t="inlineStr">
        <is>
          <t>مصرف مستقیم</t>
        </is>
      </c>
      <c r="Q59" s="10">
        <f>SUMIFS('ورودی برنامه'!$D$4:$D$16,'ورودی برنامه'!$A$4:$A$16,A59,'ورودی برنامه'!$C$4:$C$16,C59)</f>
        <v>1500</v>
      </c>
      <c r="R59" s="10">
        <f>SUMIFS('ورودی برنامه'!$E$4:$E$16,'ورودی برنامه'!$A$4:$A$16,A59,'ورودی برنامه'!$C$4:$C$16,C59)</f>
        <v>0</v>
      </c>
      <c r="S59" s="10">
        <f>ROUND(Q59*J59/K59*O59/100,10)</f>
        <v>1500</v>
      </c>
      <c r="T59" s="10">
        <f>ROUND(R59*J59/K59*O59/100,10)</f>
        <v>0</v>
      </c>
      <c r="U59" s="10" t="n">
        <v>1500</v>
      </c>
      <c r="V59" s="10" t="n">
        <v>0</v>
      </c>
    </row>
    <row r="60" ht="20" customHeight="1">
      <c r="A60" s="5" t="n">
        <v>1200151</v>
      </c>
      <c r="B60" s="6" t="inlineStr">
        <is>
          <t>درایو کولر BLDC کنترل ماشینی شده</t>
        </is>
      </c>
      <c r="C60" s="6" t="inlineStr">
        <is>
          <t>12001510106</t>
        </is>
      </c>
      <c r="D60" s="6" t="inlineStr">
        <is>
          <t>1404/05/20</t>
        </is>
      </c>
      <c r="E60" s="9" t="n"/>
      <c r="F60" s="5" t="n">
        <v>4443</v>
      </c>
      <c r="G60" s="5" t="n">
        <v>1101113</v>
      </c>
      <c r="H60" s="6" t="inlineStr">
        <is>
          <t>Resistor, 360,5%,1/10W</t>
        </is>
      </c>
      <c r="I60" s="6" t="inlineStr">
        <is>
          <t>عدد(شمارشی)</t>
        </is>
      </c>
      <c r="J60" s="5" t="n">
        <v>1</v>
      </c>
      <c r="K60" s="5" t="n">
        <v>1</v>
      </c>
      <c r="L60" s="6" t="inlineStr">
        <is>
          <t>-</t>
        </is>
      </c>
      <c r="M60" s="9" t="n"/>
      <c r="N60" s="9" t="n"/>
      <c r="O60" s="5" t="n">
        <v>100</v>
      </c>
      <c r="P60" s="6" t="inlineStr">
        <is>
          <t>مصرف مستقیم</t>
        </is>
      </c>
      <c r="Q60" s="5">
        <f>SUMIFS('ورودی برنامه'!$D$4:$D$16,'ورودی برنامه'!$A$4:$A$16,A60,'ورودی برنامه'!$C$4:$C$16,C60)</f>
        <v>1500</v>
      </c>
      <c r="R60" s="5">
        <f>SUMIFS('ورودی برنامه'!$E$4:$E$16,'ورودی برنامه'!$A$4:$A$16,A60,'ورودی برنامه'!$C$4:$C$16,C60)</f>
        <v>0</v>
      </c>
      <c r="S60" s="5">
        <f>ROUND(Q60*J60/K60*O60/100,10)</f>
        <v>1500</v>
      </c>
      <c r="T60" s="5">
        <f>ROUND(R60*J60/K60*O60/100,10)</f>
        <v>0</v>
      </c>
      <c r="U60" s="5" t="n">
        <v>1500</v>
      </c>
      <c r="V60" s="5" t="n">
        <v>0</v>
      </c>
    </row>
    <row r="61" ht="20" customHeight="1">
      <c r="A61" s="10" t="n">
        <v>1200151</v>
      </c>
      <c r="B61" s="11" t="inlineStr">
        <is>
          <t>درایو کولر BLDC کنترل ماشینی شده</t>
        </is>
      </c>
      <c r="C61" s="11" t="inlineStr">
        <is>
          <t>12001510106</t>
        </is>
      </c>
      <c r="D61" s="11" t="inlineStr">
        <is>
          <t>1404/05/20</t>
        </is>
      </c>
      <c r="E61" s="13" t="n"/>
      <c r="F61" s="10" t="n">
        <v>4459</v>
      </c>
      <c r="G61" s="10" t="n">
        <v>1111082</v>
      </c>
      <c r="H61" s="11" t="inlineStr">
        <is>
          <t>IC VIPER22ASTR-E</t>
        </is>
      </c>
      <c r="I61" s="11" t="inlineStr">
        <is>
          <t>عدد(شمارشی)</t>
        </is>
      </c>
      <c r="J61" s="10" t="n">
        <v>1</v>
      </c>
      <c r="K61" s="10" t="n">
        <v>1</v>
      </c>
      <c r="L61" s="11" t="inlineStr">
        <is>
          <t>-</t>
        </is>
      </c>
      <c r="M61" s="13" t="n"/>
      <c r="N61" s="13" t="n"/>
      <c r="O61" s="10" t="n">
        <v>100</v>
      </c>
      <c r="P61" s="11" t="inlineStr">
        <is>
          <t>مصرف مستقیم</t>
        </is>
      </c>
      <c r="Q61" s="10">
        <f>SUMIFS('ورودی برنامه'!$D$4:$D$16,'ورودی برنامه'!$A$4:$A$16,A61,'ورودی برنامه'!$C$4:$C$16,C61)</f>
        <v>1500</v>
      </c>
      <c r="R61" s="10">
        <f>SUMIFS('ورودی برنامه'!$E$4:$E$16,'ورودی برنامه'!$A$4:$A$16,A61,'ورودی برنامه'!$C$4:$C$16,C61)</f>
        <v>0</v>
      </c>
      <c r="S61" s="10">
        <f>ROUND(Q61*J61/K61*O61/100,10)</f>
        <v>1500</v>
      </c>
      <c r="T61" s="10">
        <f>ROUND(R61*J61/K61*O61/100,10)</f>
        <v>0</v>
      </c>
      <c r="U61" s="10" t="n">
        <v>1500</v>
      </c>
      <c r="V61" s="10" t="n">
        <v>0</v>
      </c>
    </row>
    <row r="62" ht="20" customHeight="1">
      <c r="A62" s="5" t="n">
        <v>1200151</v>
      </c>
      <c r="B62" s="6" t="inlineStr">
        <is>
          <t>درایو کولر BLDC کنترل ماشینی شده</t>
        </is>
      </c>
      <c r="C62" s="6" t="inlineStr">
        <is>
          <t>12001510106</t>
        </is>
      </c>
      <c r="D62" s="6" t="inlineStr">
        <is>
          <t>1404/05/20</t>
        </is>
      </c>
      <c r="E62" s="9" t="n"/>
      <c r="F62" s="5" t="n">
        <v>4460</v>
      </c>
      <c r="G62" s="5" t="n">
        <v>1111083</v>
      </c>
      <c r="H62" s="6" t="inlineStr">
        <is>
          <t>IC Regulator L78M05ACDT</t>
        </is>
      </c>
      <c r="I62" s="6" t="inlineStr">
        <is>
          <t>عدد(شمارشی)</t>
        </is>
      </c>
      <c r="J62" s="5" t="n">
        <v>1</v>
      </c>
      <c r="K62" s="5" t="n">
        <v>1</v>
      </c>
      <c r="L62" s="6" t="inlineStr">
        <is>
          <t>-</t>
        </is>
      </c>
      <c r="M62" s="9" t="n"/>
      <c r="N62" s="9" t="n"/>
      <c r="O62" s="5" t="n">
        <v>100</v>
      </c>
      <c r="P62" s="6" t="inlineStr">
        <is>
          <t>مصرف مستقیم</t>
        </is>
      </c>
      <c r="Q62" s="5">
        <f>SUMIFS('ورودی برنامه'!$D$4:$D$16,'ورودی برنامه'!$A$4:$A$16,A62,'ورودی برنامه'!$C$4:$C$16,C62)</f>
        <v>1500</v>
      </c>
      <c r="R62" s="5">
        <f>SUMIFS('ورودی برنامه'!$E$4:$E$16,'ورودی برنامه'!$A$4:$A$16,A62,'ورودی برنامه'!$C$4:$C$16,C62)</f>
        <v>0</v>
      </c>
      <c r="S62" s="5">
        <f>ROUND(Q62*J62/K62*O62/100,10)</f>
        <v>1500</v>
      </c>
      <c r="T62" s="5">
        <f>ROUND(R62*J62/K62*O62/100,10)</f>
        <v>0</v>
      </c>
      <c r="U62" s="5" t="n">
        <v>1500</v>
      </c>
      <c r="V62" s="5" t="n">
        <v>0</v>
      </c>
    </row>
    <row r="63" ht="20" customHeight="1">
      <c r="A63" s="10" t="n">
        <v>1200151</v>
      </c>
      <c r="B63" s="11" t="inlineStr">
        <is>
          <t>درایو کولر BLDC کنترل ماشینی شده</t>
        </is>
      </c>
      <c r="C63" s="11" t="inlineStr">
        <is>
          <t>12001510106</t>
        </is>
      </c>
      <c r="D63" s="11" t="inlineStr">
        <is>
          <t>1404/05/20</t>
        </is>
      </c>
      <c r="E63" s="13" t="n"/>
      <c r="F63" s="10" t="n">
        <v>4473</v>
      </c>
      <c r="G63" s="10" t="n">
        <v>1111084</v>
      </c>
      <c r="H63" s="11" t="inlineStr">
        <is>
          <t>IC 1ED44175</t>
        </is>
      </c>
      <c r="I63" s="11" t="inlineStr">
        <is>
          <t>عدد(شمارشی)</t>
        </is>
      </c>
      <c r="J63" s="10" t="n">
        <v>1</v>
      </c>
      <c r="K63" s="10" t="n">
        <v>1</v>
      </c>
      <c r="L63" s="11" t="inlineStr">
        <is>
          <t>-</t>
        </is>
      </c>
      <c r="M63" s="13" t="n"/>
      <c r="N63" s="13" t="n"/>
      <c r="O63" s="10" t="n">
        <v>100</v>
      </c>
      <c r="P63" s="11" t="inlineStr">
        <is>
          <t>مصرف مستقیم</t>
        </is>
      </c>
      <c r="Q63" s="10">
        <f>SUMIFS('ورودی برنامه'!$D$4:$D$16,'ورودی برنامه'!$A$4:$A$16,A63,'ورودی برنامه'!$C$4:$C$16,C63)</f>
        <v>1500</v>
      </c>
      <c r="R63" s="10">
        <f>SUMIFS('ورودی برنامه'!$E$4:$E$16,'ورودی برنامه'!$A$4:$A$16,A63,'ورودی برنامه'!$C$4:$C$16,C63)</f>
        <v>0</v>
      </c>
      <c r="S63" s="10">
        <f>ROUND(Q63*J63/K63*O63/100,10)</f>
        <v>1500</v>
      </c>
      <c r="T63" s="10">
        <f>ROUND(R63*J63/K63*O63/100,10)</f>
        <v>0</v>
      </c>
      <c r="U63" s="10" t="n">
        <v>1500</v>
      </c>
      <c r="V63" s="10" t="n">
        <v>0</v>
      </c>
    </row>
    <row r="64" ht="20" customHeight="1">
      <c r="A64" s="5" t="n">
        <v>1200151</v>
      </c>
      <c r="B64" s="6" t="inlineStr">
        <is>
          <t>درایو کولر BLDC کنترل ماشینی شده</t>
        </is>
      </c>
      <c r="C64" s="6" t="inlineStr">
        <is>
          <t>12001510106</t>
        </is>
      </c>
      <c r="D64" s="6" t="inlineStr">
        <is>
          <t>1404/05/20</t>
        </is>
      </c>
      <c r="E64" s="9" t="n"/>
      <c r="F64" s="5" t="n">
        <v>4474</v>
      </c>
      <c r="G64" s="5" t="n">
        <v>1111085</v>
      </c>
      <c r="H64" s="6" t="inlineStr">
        <is>
          <t>IC SGM8968-1XN5G</t>
        </is>
      </c>
      <c r="I64" s="6" t="inlineStr">
        <is>
          <t>عدد(شمارشی)</t>
        </is>
      </c>
      <c r="J64" s="5" t="n">
        <v>1</v>
      </c>
      <c r="K64" s="5" t="n">
        <v>1</v>
      </c>
      <c r="L64" s="6" t="inlineStr">
        <is>
          <t>-</t>
        </is>
      </c>
      <c r="M64" s="9" t="n"/>
      <c r="N64" s="9" t="n"/>
      <c r="O64" s="5" t="n">
        <v>100</v>
      </c>
      <c r="P64" s="6" t="inlineStr">
        <is>
          <t>مصرف مستقیم</t>
        </is>
      </c>
      <c r="Q64" s="5">
        <f>SUMIFS('ورودی برنامه'!$D$4:$D$16,'ورودی برنامه'!$A$4:$A$16,A64,'ورودی برنامه'!$C$4:$C$16,C64)</f>
        <v>1500</v>
      </c>
      <c r="R64" s="5">
        <f>SUMIFS('ورودی برنامه'!$E$4:$E$16,'ورودی برنامه'!$A$4:$A$16,A64,'ورودی برنامه'!$C$4:$C$16,C64)</f>
        <v>0</v>
      </c>
      <c r="S64" s="5">
        <f>ROUND(Q64*J64/K64*O64/100,10)</f>
        <v>1500</v>
      </c>
      <c r="T64" s="5">
        <f>ROUND(R64*J64/K64*O64/100,10)</f>
        <v>0</v>
      </c>
      <c r="U64" s="5" t="n">
        <v>1500</v>
      </c>
      <c r="V64" s="5" t="n">
        <v>0</v>
      </c>
    </row>
    <row r="65" ht="20" customHeight="1">
      <c r="A65" s="10" t="n">
        <v>1200151</v>
      </c>
      <c r="B65" s="11" t="inlineStr">
        <is>
          <t>درایو کولر BLDC کنترل ماشینی شده</t>
        </is>
      </c>
      <c r="C65" s="11" t="inlineStr">
        <is>
          <t>12001510106</t>
        </is>
      </c>
      <c r="D65" s="11" t="inlineStr">
        <is>
          <t>1404/05/20</t>
        </is>
      </c>
      <c r="E65" s="13" t="n"/>
      <c r="F65" s="10" t="n">
        <v>4487</v>
      </c>
      <c r="G65" s="10" t="n">
        <v>1111086</v>
      </c>
      <c r="H65" s="11" t="inlineStr">
        <is>
          <t>Phototransistor EL817SC</t>
        </is>
      </c>
      <c r="I65" s="11" t="inlineStr">
        <is>
          <t>عدد(شمارشی)</t>
        </is>
      </c>
      <c r="J65" s="10" t="n">
        <v>2</v>
      </c>
      <c r="K65" s="10" t="n">
        <v>1</v>
      </c>
      <c r="L65" s="11" t="inlineStr">
        <is>
          <t>-</t>
        </is>
      </c>
      <c r="M65" s="13" t="n"/>
      <c r="N65" s="13" t="n"/>
      <c r="O65" s="10" t="n">
        <v>100</v>
      </c>
      <c r="P65" s="11" t="inlineStr">
        <is>
          <t>مصرف مستقیم</t>
        </is>
      </c>
      <c r="Q65" s="10">
        <f>SUMIFS('ورودی برنامه'!$D$4:$D$16,'ورودی برنامه'!$A$4:$A$16,A65,'ورودی برنامه'!$C$4:$C$16,C65)</f>
        <v>1500</v>
      </c>
      <c r="R65" s="10">
        <f>SUMIFS('ورودی برنامه'!$E$4:$E$16,'ورودی برنامه'!$A$4:$A$16,A65,'ورودی برنامه'!$C$4:$C$16,C65)</f>
        <v>0</v>
      </c>
      <c r="S65" s="10">
        <f>ROUND(Q65*J65/K65*O65/100,10)</f>
        <v>3000</v>
      </c>
      <c r="T65" s="10">
        <f>ROUND(R65*J65/K65*O65/100,10)</f>
        <v>0</v>
      </c>
      <c r="U65" s="10" t="n">
        <v>3000</v>
      </c>
      <c r="V65" s="10" t="n">
        <v>0</v>
      </c>
    </row>
    <row r="66" ht="20" customHeight="1">
      <c r="A66" s="5" t="n">
        <v>1200151</v>
      </c>
      <c r="B66" s="6" t="inlineStr">
        <is>
          <t>درایو کولر BLDC کنترل ماشینی شده</t>
        </is>
      </c>
      <c r="C66" s="6" t="inlineStr">
        <is>
          <t>12001510106</t>
        </is>
      </c>
      <c r="D66" s="6" t="inlineStr">
        <is>
          <t>1404/05/20</t>
        </is>
      </c>
      <c r="E66" s="9" t="n"/>
      <c r="F66" s="5" t="n">
        <v>4488</v>
      </c>
      <c r="G66" s="5" t="n">
        <v>1111087</v>
      </c>
      <c r="H66" s="6" t="inlineStr">
        <is>
          <t>IC FAN73893MX</t>
        </is>
      </c>
      <c r="I66" s="6" t="inlineStr">
        <is>
          <t>عدد(شمارشی)</t>
        </is>
      </c>
      <c r="J66" s="5" t="n">
        <v>1</v>
      </c>
      <c r="K66" s="5" t="n">
        <v>1</v>
      </c>
      <c r="L66" s="6" t="inlineStr">
        <is>
          <t>-</t>
        </is>
      </c>
      <c r="M66" s="9" t="n"/>
      <c r="N66" s="9" t="n"/>
      <c r="O66" s="5" t="n">
        <v>100</v>
      </c>
      <c r="P66" s="6" t="inlineStr">
        <is>
          <t>مصرف مستقیم</t>
        </is>
      </c>
      <c r="Q66" s="5">
        <f>SUMIFS('ورودی برنامه'!$D$4:$D$16,'ورودی برنامه'!$A$4:$A$16,A66,'ورودی برنامه'!$C$4:$C$16,C66)</f>
        <v>1500</v>
      </c>
      <c r="R66" s="5">
        <f>SUMIFS('ورودی برنامه'!$E$4:$E$16,'ورودی برنامه'!$A$4:$A$16,A66,'ورودی برنامه'!$C$4:$C$16,C66)</f>
        <v>0</v>
      </c>
      <c r="S66" s="5">
        <f>ROUND(Q66*J66/K66*O66/100,10)</f>
        <v>1500</v>
      </c>
      <c r="T66" s="5">
        <f>ROUND(R66*J66/K66*O66/100,10)</f>
        <v>0</v>
      </c>
      <c r="U66" s="5" t="n">
        <v>1500</v>
      </c>
      <c r="V66" s="5" t="n">
        <v>0</v>
      </c>
    </row>
    <row r="67" ht="20" customHeight="1">
      <c r="A67" s="10" t="n">
        <v>1200151</v>
      </c>
      <c r="B67" s="11" t="inlineStr">
        <is>
          <t>درایو کولر BLDC کنترل ماشینی شده</t>
        </is>
      </c>
      <c r="C67" s="11" t="inlineStr">
        <is>
          <t>12001510106</t>
        </is>
      </c>
      <c r="D67" s="11" t="inlineStr">
        <is>
          <t>1404/05/20</t>
        </is>
      </c>
      <c r="E67" s="13" t="n"/>
      <c r="F67" s="10" t="n">
        <v>4536</v>
      </c>
      <c r="G67" s="10" t="n">
        <v>1110652</v>
      </c>
      <c r="H67" s="11" t="inlineStr">
        <is>
          <t>Transistor NCE07 IGBT 7A 600V</t>
        </is>
      </c>
      <c r="I67" s="11" t="inlineStr">
        <is>
          <t>عدد(شمارشی)</t>
        </is>
      </c>
      <c r="J67" s="10" t="n">
        <v>6</v>
      </c>
      <c r="K67" s="10" t="n">
        <v>1</v>
      </c>
      <c r="L67" s="11" t="inlineStr">
        <is>
          <t>-</t>
        </is>
      </c>
      <c r="M67" s="13" t="n"/>
      <c r="N67" s="13" t="n"/>
      <c r="O67" s="10" t="n">
        <v>100</v>
      </c>
      <c r="P67" s="11" t="inlineStr">
        <is>
          <t>مصرف مستقیم</t>
        </is>
      </c>
      <c r="Q67" s="10">
        <f>SUMIFS('ورودی برنامه'!$D$4:$D$16,'ورودی برنامه'!$A$4:$A$16,A67,'ورودی برنامه'!$C$4:$C$16,C67)</f>
        <v>1500</v>
      </c>
      <c r="R67" s="10">
        <f>SUMIFS('ورودی برنامه'!$E$4:$E$16,'ورودی برنامه'!$A$4:$A$16,A67,'ورودی برنامه'!$C$4:$C$16,C67)</f>
        <v>0</v>
      </c>
      <c r="S67" s="10">
        <f>ROUND(Q67*J67/K67*O67/100,10)</f>
        <v>9000</v>
      </c>
      <c r="T67" s="10">
        <f>ROUND(R67*J67/K67*O67/100,10)</f>
        <v>0</v>
      </c>
      <c r="U67" s="10" t="n">
        <v>9000</v>
      </c>
      <c r="V67" s="10" t="n">
        <v>0</v>
      </c>
    </row>
    <row r="68" ht="20" customHeight="1">
      <c r="A68" s="5" t="n">
        <v>1200151</v>
      </c>
      <c r="B68" s="6" t="inlineStr">
        <is>
          <t>درایو کولر BLDC کنترل ماشینی شده</t>
        </is>
      </c>
      <c r="C68" s="6" t="inlineStr">
        <is>
          <t>12001510106</t>
        </is>
      </c>
      <c r="D68" s="6" t="inlineStr">
        <is>
          <t>1404/05/20</t>
        </is>
      </c>
      <c r="E68" s="9" t="n"/>
      <c r="F68" s="5" t="n">
        <v>4537</v>
      </c>
      <c r="G68" s="5" t="n">
        <v>1101114</v>
      </c>
      <c r="H68" s="6" t="inlineStr">
        <is>
          <t>Resistor, Shunt,0.03 Ohm,1%</t>
        </is>
      </c>
      <c r="I68" s="6" t="inlineStr">
        <is>
          <t>عدد(شمارشی)</t>
        </is>
      </c>
      <c r="J68" s="5" t="n">
        <v>5</v>
      </c>
      <c r="K68" s="5" t="n">
        <v>1</v>
      </c>
      <c r="L68" s="6" t="inlineStr">
        <is>
          <t>-</t>
        </is>
      </c>
      <c r="M68" s="9" t="n"/>
      <c r="N68" s="9" t="n"/>
      <c r="O68" s="5" t="n">
        <v>100</v>
      </c>
      <c r="P68" s="6" t="inlineStr">
        <is>
          <t>مصرف مستقیم</t>
        </is>
      </c>
      <c r="Q68" s="5">
        <f>SUMIFS('ورودی برنامه'!$D$4:$D$16,'ورودی برنامه'!$A$4:$A$16,A68,'ورودی برنامه'!$C$4:$C$16,C68)</f>
        <v>1500</v>
      </c>
      <c r="R68" s="5">
        <f>SUMIFS('ورودی برنامه'!$E$4:$E$16,'ورودی برنامه'!$A$4:$A$16,A68,'ورودی برنامه'!$C$4:$C$16,C68)</f>
        <v>0</v>
      </c>
      <c r="S68" s="5">
        <f>ROUND(Q68*J68/K68*O68/100,10)</f>
        <v>7500</v>
      </c>
      <c r="T68" s="5">
        <f>ROUND(R68*J68/K68*O68/100,10)</f>
        <v>0</v>
      </c>
      <c r="U68" s="5" t="n">
        <v>7500</v>
      </c>
      <c r="V68" s="5" t="n">
        <v>0</v>
      </c>
    </row>
    <row r="69" ht="20" customHeight="1">
      <c r="A69" s="10" t="n">
        <v>1200151</v>
      </c>
      <c r="B69" s="11" t="inlineStr">
        <is>
          <t>درایو کولر BLDC کنترل ماشینی شده</t>
        </is>
      </c>
      <c r="C69" s="11" t="inlineStr">
        <is>
          <t>12001510106</t>
        </is>
      </c>
      <c r="D69" s="11" t="inlineStr">
        <is>
          <t>1404/05/20</t>
        </is>
      </c>
      <c r="E69" s="13" t="n"/>
      <c r="F69" s="10" t="n">
        <v>4550</v>
      </c>
      <c r="G69" s="10" t="n">
        <v>1111088</v>
      </c>
      <c r="H69" s="11" t="inlineStr">
        <is>
          <t>IC Microcontroller IMC102TF</t>
        </is>
      </c>
      <c r="I69" s="11" t="inlineStr">
        <is>
          <t>عدد(شمارشی)</t>
        </is>
      </c>
      <c r="J69" s="10" t="n">
        <v>1</v>
      </c>
      <c r="K69" s="10" t="n">
        <v>1</v>
      </c>
      <c r="L69" s="11" t="inlineStr">
        <is>
          <t>-</t>
        </is>
      </c>
      <c r="M69" s="13" t="n"/>
      <c r="N69" s="13" t="n"/>
      <c r="O69" s="10" t="n">
        <v>100</v>
      </c>
      <c r="P69" s="11" t="inlineStr">
        <is>
          <t>مصرف مستقیم</t>
        </is>
      </c>
      <c r="Q69" s="10">
        <f>SUMIFS('ورودی برنامه'!$D$4:$D$16,'ورودی برنامه'!$A$4:$A$16,A69,'ورودی برنامه'!$C$4:$C$16,C69)</f>
        <v>1500</v>
      </c>
      <c r="R69" s="10">
        <f>SUMIFS('ورودی برنامه'!$E$4:$E$16,'ورودی برنامه'!$A$4:$A$16,A69,'ورودی برنامه'!$C$4:$C$16,C69)</f>
        <v>0</v>
      </c>
      <c r="S69" s="10">
        <f>ROUND(Q69*J69/K69*O69/100,10)</f>
        <v>1500</v>
      </c>
      <c r="T69" s="10">
        <f>ROUND(R69*J69/K69*O69/100,10)</f>
        <v>0</v>
      </c>
      <c r="U69" s="10" t="n">
        <v>1500</v>
      </c>
      <c r="V69" s="10" t="n">
        <v>0</v>
      </c>
    </row>
    <row r="70" ht="20" customHeight="1">
      <c r="A70" s="5" t="n">
        <v>1200151</v>
      </c>
      <c r="B70" s="6" t="inlineStr">
        <is>
          <t>درایو کولر BLDC کنترل ماشینی شده</t>
        </is>
      </c>
      <c r="C70" s="6" t="inlineStr">
        <is>
          <t>12001510106</t>
        </is>
      </c>
      <c r="D70" s="6" t="inlineStr">
        <is>
          <t>1404/05/20</t>
        </is>
      </c>
      <c r="E70" s="9" t="n"/>
      <c r="F70" s="5" t="n">
        <v>4591</v>
      </c>
      <c r="G70" s="5" t="n">
        <v>1102024</v>
      </c>
      <c r="H70" s="6" t="inlineStr">
        <is>
          <t>Capacitor 4.7uf ,25v, 10%, X5R</t>
        </is>
      </c>
      <c r="I70" s="6" t="inlineStr">
        <is>
          <t>عدد(شمارشی)</t>
        </is>
      </c>
      <c r="J70" s="5" t="n">
        <v>1</v>
      </c>
      <c r="K70" s="5" t="n">
        <v>1</v>
      </c>
      <c r="L70" s="6" t="inlineStr">
        <is>
          <t>-</t>
        </is>
      </c>
      <c r="M70" s="9" t="n"/>
      <c r="N70" s="9" t="n"/>
      <c r="O70" s="5" t="n">
        <v>100</v>
      </c>
      <c r="P70" s="6" t="inlineStr">
        <is>
          <t>مصرف مستقیم</t>
        </is>
      </c>
      <c r="Q70" s="5">
        <f>SUMIFS('ورودی برنامه'!$D$4:$D$16,'ورودی برنامه'!$A$4:$A$16,A70,'ورودی برنامه'!$C$4:$C$16,C70)</f>
        <v>1500</v>
      </c>
      <c r="R70" s="5">
        <f>SUMIFS('ورودی برنامه'!$E$4:$E$16,'ورودی برنامه'!$A$4:$A$16,A70,'ورودی برنامه'!$C$4:$C$16,C70)</f>
        <v>0</v>
      </c>
      <c r="S70" s="5">
        <f>ROUND(Q70*J70/K70*O70/100,10)</f>
        <v>1500</v>
      </c>
      <c r="T70" s="5">
        <f>ROUND(R70*J70/K70*O70/100,10)</f>
        <v>0</v>
      </c>
      <c r="U70" s="5" t="n">
        <v>1500</v>
      </c>
      <c r="V70" s="5" t="n">
        <v>0</v>
      </c>
    </row>
    <row r="71" ht="20" customHeight="1">
      <c r="A71" s="10" t="n">
        <v>1200151</v>
      </c>
      <c r="B71" s="11" t="inlineStr">
        <is>
          <t>درایو کولر BLDC کنترل ماشینی شده</t>
        </is>
      </c>
      <c r="C71" s="11" t="inlineStr">
        <is>
          <t>12001510106</t>
        </is>
      </c>
      <c r="D71" s="11" t="inlineStr">
        <is>
          <t>1404/05/20</t>
        </is>
      </c>
      <c r="E71" s="13" t="n"/>
      <c r="F71" s="10" t="n">
        <v>4795</v>
      </c>
      <c r="G71" s="10" t="n">
        <v>1111090</v>
      </c>
      <c r="H71" s="11" t="inlineStr">
        <is>
          <t>IC ULN2003 FAN DRIVER</t>
        </is>
      </c>
      <c r="I71" s="11" t="inlineStr">
        <is>
          <t>عدد(شمارشی)</t>
        </is>
      </c>
      <c r="J71" s="10" t="n">
        <v>1</v>
      </c>
      <c r="K71" s="10" t="n">
        <v>1</v>
      </c>
      <c r="L71" s="11" t="inlineStr">
        <is>
          <t>-</t>
        </is>
      </c>
      <c r="M71" s="13" t="n"/>
      <c r="N71" s="13" t="n"/>
      <c r="O71" s="10" t="n">
        <v>100</v>
      </c>
      <c r="P71" s="11" t="inlineStr">
        <is>
          <t>مصرف مستقیم</t>
        </is>
      </c>
      <c r="Q71" s="10">
        <f>SUMIFS('ورودی برنامه'!$D$4:$D$16,'ورودی برنامه'!$A$4:$A$16,A71,'ورودی برنامه'!$C$4:$C$16,C71)</f>
        <v>1500</v>
      </c>
      <c r="R71" s="10">
        <f>SUMIFS('ورودی برنامه'!$E$4:$E$16,'ورودی برنامه'!$A$4:$A$16,A71,'ورودی برنامه'!$C$4:$C$16,C71)</f>
        <v>0</v>
      </c>
      <c r="S71" s="10">
        <f>ROUND(Q71*J71/K71*O71/100,10)</f>
        <v>1500</v>
      </c>
      <c r="T71" s="10">
        <f>ROUND(R71*J71/K71*O71/100,10)</f>
        <v>0</v>
      </c>
      <c r="U71" s="10" t="n">
        <v>1500</v>
      </c>
      <c r="V71" s="10" t="n">
        <v>0</v>
      </c>
    </row>
    <row r="72" ht="20" customHeight="1">
      <c r="A72" s="5" t="n">
        <v>1200151</v>
      </c>
      <c r="B72" s="6" t="inlineStr">
        <is>
          <t>درایو کولر BLDC کنترل ماشینی شده</t>
        </is>
      </c>
      <c r="C72" s="6" t="inlineStr">
        <is>
          <t>12001510106</t>
        </is>
      </c>
      <c r="D72" s="6" t="inlineStr">
        <is>
          <t>1404/05/20</t>
        </is>
      </c>
      <c r="E72" s="9" t="n"/>
      <c r="F72" s="5" t="n">
        <v>4796</v>
      </c>
      <c r="G72" s="5" t="n">
        <v>1102028</v>
      </c>
      <c r="H72" s="6" t="inlineStr">
        <is>
          <t>Capacitor 100p, 630v, 1206</t>
        </is>
      </c>
      <c r="I72" s="6" t="inlineStr">
        <is>
          <t>عدد(شمارشی)</t>
        </is>
      </c>
      <c r="J72" s="5" t="n">
        <v>1</v>
      </c>
      <c r="K72" s="5" t="n">
        <v>1</v>
      </c>
      <c r="L72" s="6" t="inlineStr">
        <is>
          <t>1</t>
        </is>
      </c>
      <c r="M72" s="5" t="n">
        <v>2</v>
      </c>
      <c r="N72" s="5" t="n">
        <v>100</v>
      </c>
      <c r="O72" s="5" t="n">
        <v>0</v>
      </c>
      <c r="P72" s="6" t="inlineStr">
        <is>
          <t>۱۰۰٪ تکراری؛ فقط اولویت اول</t>
        </is>
      </c>
      <c r="Q72" s="5">
        <f>SUMIFS('ورودی برنامه'!$D$4:$D$16,'ورودی برنامه'!$A$4:$A$16,A72,'ورودی برنامه'!$C$4:$C$16,C72)</f>
        <v>1500</v>
      </c>
      <c r="R72" s="5">
        <f>SUMIFS('ورودی برنامه'!$E$4:$E$16,'ورودی برنامه'!$A$4:$A$16,A72,'ورودی برنامه'!$C$4:$C$16,C72)</f>
        <v>0</v>
      </c>
      <c r="S72" s="5">
        <f>ROUND(Q72*J72/K72*O72/100,10)</f>
        <v>0</v>
      </c>
      <c r="T72" s="5">
        <f>ROUND(R72*J72/K72*O72/100,10)</f>
        <v>0</v>
      </c>
      <c r="U72" s="5" t="n">
        <v>0</v>
      </c>
      <c r="V72" s="5" t="n">
        <v>0</v>
      </c>
    </row>
    <row r="73" ht="20" customHeight="1">
      <c r="A73" s="10" t="n">
        <v>1200151</v>
      </c>
      <c r="B73" s="11" t="inlineStr">
        <is>
          <t>درایو کولر BLDC کنترل ماشینی شده</t>
        </is>
      </c>
      <c r="C73" s="11" t="inlineStr">
        <is>
          <t>12001510106</t>
        </is>
      </c>
      <c r="D73" s="11" t="inlineStr">
        <is>
          <t>1404/05/20</t>
        </is>
      </c>
      <c r="E73" s="13" t="n"/>
      <c r="F73" s="10" t="n">
        <v>9401</v>
      </c>
      <c r="G73" s="10" t="n">
        <v>1110075</v>
      </c>
      <c r="H73" s="11" t="inlineStr">
        <is>
          <t>Capacitor 10N,50V,X7R,10%</t>
        </is>
      </c>
      <c r="I73" s="11" t="inlineStr">
        <is>
          <t>عدد</t>
        </is>
      </c>
      <c r="J73" s="10" t="n">
        <v>2</v>
      </c>
      <c r="K73" s="10" t="n">
        <v>1</v>
      </c>
      <c r="L73" s="11" t="inlineStr">
        <is>
          <t>-</t>
        </is>
      </c>
      <c r="M73" s="13" t="n"/>
      <c r="N73" s="13" t="n"/>
      <c r="O73" s="10" t="n">
        <v>100</v>
      </c>
      <c r="P73" s="11" t="inlineStr">
        <is>
          <t>مصرف مستقیم</t>
        </is>
      </c>
      <c r="Q73" s="10">
        <f>SUMIFS('ورودی برنامه'!$D$4:$D$16,'ورودی برنامه'!$A$4:$A$16,A73,'ورودی برنامه'!$C$4:$C$16,C73)</f>
        <v>1500</v>
      </c>
      <c r="R73" s="10">
        <f>SUMIFS('ورودی برنامه'!$E$4:$E$16,'ورودی برنامه'!$A$4:$A$16,A73,'ورودی برنامه'!$C$4:$C$16,C73)</f>
        <v>0</v>
      </c>
      <c r="S73" s="10">
        <f>ROUND(Q73*J73/K73*O73/100,10)</f>
        <v>3000</v>
      </c>
      <c r="T73" s="10">
        <f>ROUND(R73*J73/K73*O73/100,10)</f>
        <v>0</v>
      </c>
      <c r="U73" s="10" t="n">
        <v>3000</v>
      </c>
      <c r="V73" s="10" t="n">
        <v>0</v>
      </c>
    </row>
    <row r="74" ht="20" customHeight="1">
      <c r="A74" s="5" t="n">
        <v>1200151</v>
      </c>
      <c r="B74" s="6" t="inlineStr">
        <is>
          <t>درایو کولر BLDC کنترل ماشینی شده</t>
        </is>
      </c>
      <c r="C74" s="6" t="inlineStr">
        <is>
          <t>12001510106</t>
        </is>
      </c>
      <c r="D74" s="6" t="inlineStr">
        <is>
          <t>1404/05/20</t>
        </is>
      </c>
      <c r="E74" s="9" t="n"/>
      <c r="F74" s="5" t="n">
        <v>10198</v>
      </c>
      <c r="G74" s="5" t="n">
        <v>1110046</v>
      </c>
      <c r="H74" s="6" t="inlineStr">
        <is>
          <t>Capacitor 22N,50V,NPO,5%</t>
        </is>
      </c>
      <c r="I74" s="6" t="inlineStr">
        <is>
          <t>عدد</t>
        </is>
      </c>
      <c r="J74" s="5" t="n">
        <v>1</v>
      </c>
      <c r="K74" s="5" t="n">
        <v>1</v>
      </c>
      <c r="L74" s="6" t="inlineStr">
        <is>
          <t>-</t>
        </is>
      </c>
      <c r="M74" s="9" t="n"/>
      <c r="N74" s="9" t="n"/>
      <c r="O74" s="5" t="n">
        <v>100</v>
      </c>
      <c r="P74" s="6" t="inlineStr">
        <is>
          <t>مصرف مستقیم</t>
        </is>
      </c>
      <c r="Q74" s="5">
        <f>SUMIFS('ورودی برنامه'!$D$4:$D$16,'ورودی برنامه'!$A$4:$A$16,A74,'ورودی برنامه'!$C$4:$C$16,C74)</f>
        <v>1500</v>
      </c>
      <c r="R74" s="5">
        <f>SUMIFS('ورودی برنامه'!$E$4:$E$16,'ورودی برنامه'!$A$4:$A$16,A74,'ورودی برنامه'!$C$4:$C$16,C74)</f>
        <v>0</v>
      </c>
      <c r="S74" s="5">
        <f>ROUND(Q74*J74/K74*O74/100,10)</f>
        <v>1500</v>
      </c>
      <c r="T74" s="5">
        <f>ROUND(R74*J74/K74*O74/100,10)</f>
        <v>0</v>
      </c>
      <c r="U74" s="5" t="n">
        <v>1500</v>
      </c>
      <c r="V74" s="5" t="n">
        <v>0</v>
      </c>
    </row>
    <row r="75" ht="20" customHeight="1">
      <c r="A75" s="10" t="n">
        <v>1200151</v>
      </c>
      <c r="B75" s="11" t="inlineStr">
        <is>
          <t>درایو کولر BLDC کنترل ماشینی شده</t>
        </is>
      </c>
      <c r="C75" s="11" t="inlineStr">
        <is>
          <t>12001510106</t>
        </is>
      </c>
      <c r="D75" s="11" t="inlineStr">
        <is>
          <t>1404/05/20</t>
        </is>
      </c>
      <c r="E75" s="13" t="n"/>
      <c r="F75" s="10" t="n">
        <v>10447</v>
      </c>
      <c r="G75" s="10" t="n">
        <v>1110058</v>
      </c>
      <c r="H75" s="11" t="inlineStr">
        <is>
          <t>Capacitor 470N,50V,X7R,10%</t>
        </is>
      </c>
      <c r="I75" s="11" t="inlineStr">
        <is>
          <t>عدد</t>
        </is>
      </c>
      <c r="J75" s="10" t="n">
        <v>1</v>
      </c>
      <c r="K75" s="10" t="n">
        <v>1</v>
      </c>
      <c r="L75" s="11" t="inlineStr">
        <is>
          <t>-</t>
        </is>
      </c>
      <c r="M75" s="13" t="n"/>
      <c r="N75" s="13" t="n"/>
      <c r="O75" s="10" t="n">
        <v>100</v>
      </c>
      <c r="P75" s="11" t="inlineStr">
        <is>
          <t>مصرف مستقیم</t>
        </is>
      </c>
      <c r="Q75" s="10">
        <f>SUMIFS('ورودی برنامه'!$D$4:$D$16,'ورودی برنامه'!$A$4:$A$16,A75,'ورودی برنامه'!$C$4:$C$16,C75)</f>
        <v>1500</v>
      </c>
      <c r="R75" s="10">
        <f>SUMIFS('ورودی برنامه'!$E$4:$E$16,'ورودی برنامه'!$A$4:$A$16,A75,'ورودی برنامه'!$C$4:$C$16,C75)</f>
        <v>0</v>
      </c>
      <c r="S75" s="10">
        <f>ROUND(Q75*J75/K75*O75/100,10)</f>
        <v>1500</v>
      </c>
      <c r="T75" s="10">
        <f>ROUND(R75*J75/K75*O75/100,10)</f>
        <v>0</v>
      </c>
      <c r="U75" s="10" t="n">
        <v>1500</v>
      </c>
      <c r="V75" s="10" t="n">
        <v>0</v>
      </c>
    </row>
    <row r="76" ht="20" customHeight="1">
      <c r="A76" s="5" t="n">
        <v>1200151</v>
      </c>
      <c r="B76" s="6" t="inlineStr">
        <is>
          <t>درایو کولر BLDC کنترل ماشینی شده</t>
        </is>
      </c>
      <c r="C76" s="6" t="inlineStr">
        <is>
          <t>12001510106</t>
        </is>
      </c>
      <c r="D76" s="6" t="inlineStr">
        <is>
          <t>1404/05/20</t>
        </is>
      </c>
      <c r="E76" s="9" t="n"/>
      <c r="F76" s="5" t="n">
        <v>24119</v>
      </c>
      <c r="G76" s="5" t="n">
        <v>1110095</v>
      </c>
      <c r="H76" s="6" t="inlineStr">
        <is>
          <t>Capacitor 100nF,X7R,50V,10%</t>
        </is>
      </c>
      <c r="I76" s="6" t="inlineStr">
        <is>
          <t>عدد</t>
        </is>
      </c>
      <c r="J76" s="5" t="n">
        <v>10</v>
      </c>
      <c r="K76" s="5" t="n">
        <v>1</v>
      </c>
      <c r="L76" s="6" t="inlineStr">
        <is>
          <t>-</t>
        </is>
      </c>
      <c r="M76" s="9" t="n"/>
      <c r="N76" s="9" t="n"/>
      <c r="O76" s="5" t="n">
        <v>100</v>
      </c>
      <c r="P76" s="6" t="inlineStr">
        <is>
          <t>مصرف مستقیم</t>
        </is>
      </c>
      <c r="Q76" s="5">
        <f>SUMIFS('ورودی برنامه'!$D$4:$D$16,'ورودی برنامه'!$A$4:$A$16,A76,'ورودی برنامه'!$C$4:$C$16,C76)</f>
        <v>1500</v>
      </c>
      <c r="R76" s="5">
        <f>SUMIFS('ورودی برنامه'!$E$4:$E$16,'ورودی برنامه'!$A$4:$A$16,A76,'ورودی برنامه'!$C$4:$C$16,C76)</f>
        <v>0</v>
      </c>
      <c r="S76" s="5">
        <f>ROUND(Q76*J76/K76*O76/100,10)</f>
        <v>15000</v>
      </c>
      <c r="T76" s="5">
        <f>ROUND(R76*J76/K76*O76/100,10)</f>
        <v>0</v>
      </c>
      <c r="U76" s="5" t="n">
        <v>15000</v>
      </c>
      <c r="V76" s="5" t="n">
        <v>0</v>
      </c>
    </row>
    <row r="77" ht="20" customHeight="1">
      <c r="A77" s="10" t="n">
        <v>1200151</v>
      </c>
      <c r="B77" s="11" t="inlineStr">
        <is>
          <t>درایو کولر BLDC کنترل ماشینی شده</t>
        </is>
      </c>
      <c r="C77" s="11" t="inlineStr">
        <is>
          <t>12001510106</t>
        </is>
      </c>
      <c r="D77" s="11" t="inlineStr">
        <is>
          <t>1404/05/20</t>
        </is>
      </c>
      <c r="E77" s="13" t="n"/>
      <c r="F77" s="10" t="n">
        <v>26842</v>
      </c>
      <c r="G77" s="10" t="n">
        <v>1110397</v>
      </c>
      <c r="H77" s="11" t="inlineStr">
        <is>
          <t>Resistor 470,5%,1/12W</t>
        </is>
      </c>
      <c r="I77" s="11" t="inlineStr">
        <is>
          <t>عدد</t>
        </is>
      </c>
      <c r="J77" s="10" t="n">
        <v>1</v>
      </c>
      <c r="K77" s="10" t="n">
        <v>1</v>
      </c>
      <c r="L77" s="11" t="inlineStr">
        <is>
          <t>-</t>
        </is>
      </c>
      <c r="M77" s="13" t="n"/>
      <c r="N77" s="13" t="n"/>
      <c r="O77" s="10" t="n">
        <v>100</v>
      </c>
      <c r="P77" s="11" t="inlineStr">
        <is>
          <t>مصرف مستقیم</t>
        </is>
      </c>
      <c r="Q77" s="10">
        <f>SUMIFS('ورودی برنامه'!$D$4:$D$16,'ورودی برنامه'!$A$4:$A$16,A77,'ورودی برنامه'!$C$4:$C$16,C77)</f>
        <v>1500</v>
      </c>
      <c r="R77" s="10">
        <f>SUMIFS('ورودی برنامه'!$E$4:$E$16,'ورودی برنامه'!$A$4:$A$16,A77,'ورودی برنامه'!$C$4:$C$16,C77)</f>
        <v>0</v>
      </c>
      <c r="S77" s="10">
        <f>ROUND(Q77*J77/K77*O77/100,10)</f>
        <v>1500</v>
      </c>
      <c r="T77" s="10">
        <f>ROUND(R77*J77/K77*O77/100,10)</f>
        <v>0</v>
      </c>
      <c r="U77" s="10" t="n">
        <v>1500</v>
      </c>
      <c r="V77" s="10" t="n">
        <v>0</v>
      </c>
    </row>
    <row r="78" ht="20" customHeight="1">
      <c r="A78" s="5" t="n">
        <v>1200151</v>
      </c>
      <c r="B78" s="6" t="inlineStr">
        <is>
          <t>درایو کولر BLDC کنترل ماشینی شده</t>
        </is>
      </c>
      <c r="C78" s="6" t="inlineStr">
        <is>
          <t>12001510106</t>
        </is>
      </c>
      <c r="D78" s="6" t="inlineStr">
        <is>
          <t>1404/05/20</t>
        </is>
      </c>
      <c r="E78" s="9" t="n"/>
      <c r="F78" s="5" t="n">
        <v>27680</v>
      </c>
      <c r="G78" s="5" t="n">
        <v>1110183</v>
      </c>
      <c r="H78" s="6" t="inlineStr">
        <is>
          <t>Resistor 10K,5%,1/10W 0603</t>
        </is>
      </c>
      <c r="I78" s="6" t="inlineStr">
        <is>
          <t>عدد</t>
        </is>
      </c>
      <c r="J78" s="5" t="n">
        <v>11</v>
      </c>
      <c r="K78" s="5" t="n">
        <v>1</v>
      </c>
      <c r="L78" s="6" t="inlineStr">
        <is>
          <t>-</t>
        </is>
      </c>
      <c r="M78" s="9" t="n"/>
      <c r="N78" s="9" t="n"/>
      <c r="O78" s="5" t="n">
        <v>100</v>
      </c>
      <c r="P78" s="6" t="inlineStr">
        <is>
          <t>مصرف مستقیم</t>
        </is>
      </c>
      <c r="Q78" s="5">
        <f>SUMIFS('ورودی برنامه'!$D$4:$D$16,'ورودی برنامه'!$A$4:$A$16,A78,'ورودی برنامه'!$C$4:$C$16,C78)</f>
        <v>1500</v>
      </c>
      <c r="R78" s="5">
        <f>SUMIFS('ورودی برنامه'!$E$4:$E$16,'ورودی برنامه'!$A$4:$A$16,A78,'ورودی برنامه'!$C$4:$C$16,C78)</f>
        <v>0</v>
      </c>
      <c r="S78" s="5">
        <f>ROUND(Q78*J78/K78*O78/100,10)</f>
        <v>16500</v>
      </c>
      <c r="T78" s="5">
        <f>ROUND(R78*J78/K78*O78/100,10)</f>
        <v>0</v>
      </c>
      <c r="U78" s="5" t="n">
        <v>16500</v>
      </c>
      <c r="V78" s="5" t="n">
        <v>0</v>
      </c>
    </row>
    <row r="79" ht="20" customHeight="1">
      <c r="A79" s="10" t="n">
        <v>1200151</v>
      </c>
      <c r="B79" s="11" t="inlineStr">
        <is>
          <t>درایو کولر BLDC کنترل ماشینی شده</t>
        </is>
      </c>
      <c r="C79" s="11" t="inlineStr">
        <is>
          <t>12001510106</t>
        </is>
      </c>
      <c r="D79" s="11" t="inlineStr">
        <is>
          <t>1404/05/20</t>
        </is>
      </c>
      <c r="E79" s="13" t="n"/>
      <c r="F79" s="10" t="n">
        <v>28585</v>
      </c>
      <c r="G79" s="10" t="n">
        <v>1110180</v>
      </c>
      <c r="H79" s="11" t="inlineStr">
        <is>
          <t>Resistor 100k, 5%, 1/10w, 0603</t>
        </is>
      </c>
      <c r="I79" s="11" t="inlineStr">
        <is>
          <t>عدد</t>
        </is>
      </c>
      <c r="J79" s="10" t="n">
        <v>1</v>
      </c>
      <c r="K79" s="10" t="n">
        <v>1</v>
      </c>
      <c r="L79" s="11" t="inlineStr">
        <is>
          <t>-</t>
        </is>
      </c>
      <c r="M79" s="13" t="n"/>
      <c r="N79" s="13" t="n"/>
      <c r="O79" s="10" t="n">
        <v>100</v>
      </c>
      <c r="P79" s="11" t="inlineStr">
        <is>
          <t>مصرف مستقیم</t>
        </is>
      </c>
      <c r="Q79" s="10">
        <f>SUMIFS('ورودی برنامه'!$D$4:$D$16,'ورودی برنامه'!$A$4:$A$16,A79,'ورودی برنامه'!$C$4:$C$16,C79)</f>
        <v>1500</v>
      </c>
      <c r="R79" s="10">
        <f>SUMIFS('ورودی برنامه'!$E$4:$E$16,'ورودی برنامه'!$A$4:$A$16,A79,'ورودی برنامه'!$C$4:$C$16,C79)</f>
        <v>0</v>
      </c>
      <c r="S79" s="10">
        <f>ROUND(Q79*J79/K79*O79/100,10)</f>
        <v>1500</v>
      </c>
      <c r="T79" s="10">
        <f>ROUND(R79*J79/K79*O79/100,10)</f>
        <v>0</v>
      </c>
      <c r="U79" s="10" t="n">
        <v>1500</v>
      </c>
      <c r="V79" s="10" t="n">
        <v>0</v>
      </c>
    </row>
    <row r="80" ht="20" customHeight="1">
      <c r="A80" s="5" t="n">
        <v>1200151</v>
      </c>
      <c r="B80" s="6" t="inlineStr">
        <is>
          <t>درایو کولر BLDC کنترل ماشینی شده</t>
        </is>
      </c>
      <c r="C80" s="6" t="inlineStr">
        <is>
          <t>12001510106</t>
        </is>
      </c>
      <c r="D80" s="6" t="inlineStr">
        <is>
          <t>1404/05/20</t>
        </is>
      </c>
      <c r="E80" s="9" t="n"/>
      <c r="F80" s="5" t="n">
        <v>28885</v>
      </c>
      <c r="G80" s="5" t="n">
        <v>1110920</v>
      </c>
      <c r="H80" s="6" t="inlineStr">
        <is>
          <t>Diode US1M</t>
        </is>
      </c>
      <c r="I80" s="6" t="inlineStr">
        <is>
          <t>عدد</t>
        </is>
      </c>
      <c r="J80" s="5" t="n">
        <v>6</v>
      </c>
      <c r="K80" s="5" t="n">
        <v>1</v>
      </c>
      <c r="L80" s="6" t="inlineStr">
        <is>
          <t>-</t>
        </is>
      </c>
      <c r="M80" s="9" t="n"/>
      <c r="N80" s="9" t="n"/>
      <c r="O80" s="5" t="n">
        <v>100</v>
      </c>
      <c r="P80" s="6" t="inlineStr">
        <is>
          <t>مصرف مستقیم</t>
        </is>
      </c>
      <c r="Q80" s="5">
        <f>SUMIFS('ورودی برنامه'!$D$4:$D$16,'ورودی برنامه'!$A$4:$A$16,A80,'ورودی برنامه'!$C$4:$C$16,C80)</f>
        <v>1500</v>
      </c>
      <c r="R80" s="5">
        <f>SUMIFS('ورودی برنامه'!$E$4:$E$16,'ورودی برنامه'!$A$4:$A$16,A80,'ورودی برنامه'!$C$4:$C$16,C80)</f>
        <v>0</v>
      </c>
      <c r="S80" s="5">
        <f>ROUND(Q80*J80/K80*O80/100,10)</f>
        <v>9000</v>
      </c>
      <c r="T80" s="5">
        <f>ROUND(R80*J80/K80*O80/100,10)</f>
        <v>0</v>
      </c>
      <c r="U80" s="5" t="n">
        <v>9000</v>
      </c>
      <c r="V80" s="5" t="n">
        <v>0</v>
      </c>
    </row>
    <row r="81" ht="20" customHeight="1">
      <c r="A81" s="10" t="n">
        <v>1200151</v>
      </c>
      <c r="B81" s="11" t="inlineStr">
        <is>
          <t>درایو کولر BLDC کنترل ماشینی شده</t>
        </is>
      </c>
      <c r="C81" s="11" t="inlineStr">
        <is>
          <t>12001510106</t>
        </is>
      </c>
      <c r="D81" s="11" t="inlineStr">
        <is>
          <t>1404/05/20</t>
        </is>
      </c>
      <c r="E81" s="13" t="n"/>
      <c r="F81" s="10" t="n">
        <v>29129</v>
      </c>
      <c r="G81" s="10" t="n">
        <v>1110274</v>
      </c>
      <c r="H81" s="11" t="inlineStr">
        <is>
          <t>Resistor 0 ,5%,1/10W</t>
        </is>
      </c>
      <c r="I81" s="11" t="inlineStr">
        <is>
          <t>عدد</t>
        </is>
      </c>
      <c r="J81" s="10" t="n">
        <v>1</v>
      </c>
      <c r="K81" s="10" t="n">
        <v>1</v>
      </c>
      <c r="L81" s="11" t="inlineStr">
        <is>
          <t>-</t>
        </is>
      </c>
      <c r="M81" s="13" t="n"/>
      <c r="N81" s="13" t="n"/>
      <c r="O81" s="10" t="n">
        <v>100</v>
      </c>
      <c r="P81" s="11" t="inlineStr">
        <is>
          <t>مصرف مستقیم</t>
        </is>
      </c>
      <c r="Q81" s="10">
        <f>SUMIFS('ورودی برنامه'!$D$4:$D$16,'ورودی برنامه'!$A$4:$A$16,A81,'ورودی برنامه'!$C$4:$C$16,C81)</f>
        <v>1500</v>
      </c>
      <c r="R81" s="10">
        <f>SUMIFS('ورودی برنامه'!$E$4:$E$16,'ورودی برنامه'!$A$4:$A$16,A81,'ورودی برنامه'!$C$4:$C$16,C81)</f>
        <v>0</v>
      </c>
      <c r="S81" s="10">
        <f>ROUND(Q81*J81/K81*O81/100,10)</f>
        <v>1500</v>
      </c>
      <c r="T81" s="10">
        <f>ROUND(R81*J81/K81*O81/100,10)</f>
        <v>0</v>
      </c>
      <c r="U81" s="10" t="n">
        <v>1500</v>
      </c>
      <c r="V81" s="10" t="n">
        <v>0</v>
      </c>
    </row>
    <row r="82" ht="20" customHeight="1">
      <c r="A82" s="5" t="n">
        <v>1200151</v>
      </c>
      <c r="B82" s="6" t="inlineStr">
        <is>
          <t>درایو کولر BLDC کنترل ماشینی شده</t>
        </is>
      </c>
      <c r="C82" s="6" t="inlineStr">
        <is>
          <t>12001510106</t>
        </is>
      </c>
      <c r="D82" s="6" t="inlineStr">
        <is>
          <t>1404/05/20</t>
        </is>
      </c>
      <c r="E82" s="9" t="n"/>
      <c r="F82" s="5" t="n">
        <v>29522</v>
      </c>
      <c r="G82" s="5" t="n">
        <v>1110151</v>
      </c>
      <c r="H82" s="6" t="inlineStr">
        <is>
          <t>Capacitor 4.7nF,X7R,50V,10% KYOCERA</t>
        </is>
      </c>
      <c r="I82" s="6" t="inlineStr">
        <is>
          <t>عدد</t>
        </is>
      </c>
      <c r="J82" s="5" t="n">
        <v>8</v>
      </c>
      <c r="K82" s="5" t="n">
        <v>1</v>
      </c>
      <c r="L82" s="6" t="inlineStr">
        <is>
          <t>-</t>
        </is>
      </c>
      <c r="M82" s="9" t="n"/>
      <c r="N82" s="9" t="n"/>
      <c r="O82" s="5" t="n">
        <v>100</v>
      </c>
      <c r="P82" s="6" t="inlineStr">
        <is>
          <t>مصرف مستقیم</t>
        </is>
      </c>
      <c r="Q82" s="5">
        <f>SUMIFS('ورودی برنامه'!$D$4:$D$16,'ورودی برنامه'!$A$4:$A$16,A82,'ورودی برنامه'!$C$4:$C$16,C82)</f>
        <v>1500</v>
      </c>
      <c r="R82" s="5">
        <f>SUMIFS('ورودی برنامه'!$E$4:$E$16,'ورودی برنامه'!$A$4:$A$16,A82,'ورودی برنامه'!$C$4:$C$16,C82)</f>
        <v>0</v>
      </c>
      <c r="S82" s="5">
        <f>ROUND(Q82*J82/K82*O82/100,10)</f>
        <v>12000</v>
      </c>
      <c r="T82" s="5">
        <f>ROUND(R82*J82/K82*O82/100,10)</f>
        <v>0</v>
      </c>
      <c r="U82" s="5" t="n">
        <v>12000</v>
      </c>
      <c r="V82" s="5" t="n">
        <v>0</v>
      </c>
    </row>
    <row r="83" ht="20" customHeight="1">
      <c r="A83" s="10" t="n">
        <v>1200151</v>
      </c>
      <c r="B83" s="11" t="inlineStr">
        <is>
          <t>درایو کولر BLDC کنترل ماشینی شده</t>
        </is>
      </c>
      <c r="C83" s="11" t="inlineStr">
        <is>
          <t>12001510106</t>
        </is>
      </c>
      <c r="D83" s="11" t="inlineStr">
        <is>
          <t>1404/05/20</t>
        </is>
      </c>
      <c r="E83" s="13" t="n"/>
      <c r="F83" s="10" t="n">
        <v>30048</v>
      </c>
      <c r="G83" s="10" t="n">
        <v>1110135</v>
      </c>
      <c r="H83" s="11" t="inlineStr">
        <is>
          <t>Capacitor 1uF,16V,10%,X7R(3008118</t>
        </is>
      </c>
      <c r="I83" s="11" t="inlineStr">
        <is>
          <t>عدد</t>
        </is>
      </c>
      <c r="J83" s="10" t="n">
        <v>3</v>
      </c>
      <c r="K83" s="10" t="n">
        <v>1</v>
      </c>
      <c r="L83" s="11" t="inlineStr">
        <is>
          <t>-</t>
        </is>
      </c>
      <c r="M83" s="13" t="n"/>
      <c r="N83" s="13" t="n"/>
      <c r="O83" s="10" t="n">
        <v>100</v>
      </c>
      <c r="P83" s="11" t="inlineStr">
        <is>
          <t>مصرف مستقیم</t>
        </is>
      </c>
      <c r="Q83" s="10">
        <f>SUMIFS('ورودی برنامه'!$D$4:$D$16,'ورودی برنامه'!$A$4:$A$16,A83,'ورودی برنامه'!$C$4:$C$16,C83)</f>
        <v>1500</v>
      </c>
      <c r="R83" s="10">
        <f>SUMIFS('ورودی برنامه'!$E$4:$E$16,'ورودی برنامه'!$A$4:$A$16,A83,'ورودی برنامه'!$C$4:$C$16,C83)</f>
        <v>0</v>
      </c>
      <c r="S83" s="10">
        <f>ROUND(Q83*J83/K83*O83/100,10)</f>
        <v>4500</v>
      </c>
      <c r="T83" s="10">
        <f>ROUND(R83*J83/K83*O83/100,10)</f>
        <v>0</v>
      </c>
      <c r="U83" s="10" t="n">
        <v>4500</v>
      </c>
      <c r="V83" s="10" t="n">
        <v>0</v>
      </c>
    </row>
    <row r="84" ht="20" customHeight="1">
      <c r="A84" s="5" t="n">
        <v>1200151</v>
      </c>
      <c r="B84" s="6" t="inlineStr">
        <is>
          <t>درایو کولر BLDC کنترل ماشینی شده</t>
        </is>
      </c>
      <c r="C84" s="6" t="inlineStr">
        <is>
          <t>12001510106</t>
        </is>
      </c>
      <c r="D84" s="6" t="inlineStr">
        <is>
          <t>1404/05/20</t>
        </is>
      </c>
      <c r="E84" s="9" t="n"/>
      <c r="F84" s="5" t="n">
        <v>30197</v>
      </c>
      <c r="G84" s="5" t="n">
        <v>1110706</v>
      </c>
      <c r="H84" s="6" t="inlineStr">
        <is>
          <t>resistor 1K,1%,1/10W</t>
        </is>
      </c>
      <c r="I84" s="6" t="inlineStr">
        <is>
          <t>عدد</t>
        </is>
      </c>
      <c r="J84" s="5" t="n">
        <v>10</v>
      </c>
      <c r="K84" s="5" t="n">
        <v>1</v>
      </c>
      <c r="L84" s="6" t="inlineStr">
        <is>
          <t>-</t>
        </is>
      </c>
      <c r="M84" s="9" t="n"/>
      <c r="N84" s="9" t="n"/>
      <c r="O84" s="5" t="n">
        <v>100</v>
      </c>
      <c r="P84" s="6" t="inlineStr">
        <is>
          <t>مصرف مستقیم</t>
        </is>
      </c>
      <c r="Q84" s="5">
        <f>SUMIFS('ورودی برنامه'!$D$4:$D$16,'ورودی برنامه'!$A$4:$A$16,A84,'ورودی برنامه'!$C$4:$C$16,C84)</f>
        <v>1500</v>
      </c>
      <c r="R84" s="5">
        <f>SUMIFS('ورودی برنامه'!$E$4:$E$16,'ورودی برنامه'!$A$4:$A$16,A84,'ورودی برنامه'!$C$4:$C$16,C84)</f>
        <v>0</v>
      </c>
      <c r="S84" s="5">
        <f>ROUND(Q84*J84/K84*O84/100,10)</f>
        <v>15000</v>
      </c>
      <c r="T84" s="5">
        <f>ROUND(R84*J84/K84*O84/100,10)</f>
        <v>0</v>
      </c>
      <c r="U84" s="5" t="n">
        <v>15000</v>
      </c>
      <c r="V84" s="5" t="n">
        <v>0</v>
      </c>
    </row>
    <row r="85" ht="20" customHeight="1">
      <c r="A85" s="10" t="n">
        <v>1200151</v>
      </c>
      <c r="B85" s="11" t="inlineStr">
        <is>
          <t>درایو کولر BLDC کنترل ماشینی شده</t>
        </is>
      </c>
      <c r="C85" s="11" t="inlineStr">
        <is>
          <t>12001510106</t>
        </is>
      </c>
      <c r="D85" s="11" t="inlineStr">
        <is>
          <t>1404/05/20</t>
        </is>
      </c>
      <c r="E85" s="13" t="n"/>
      <c r="F85" s="10" t="n">
        <v>31077</v>
      </c>
      <c r="G85" s="10" t="n">
        <v>1110194</v>
      </c>
      <c r="H85" s="11" t="inlineStr">
        <is>
          <t>Resistor 100,1%,1/10W</t>
        </is>
      </c>
      <c r="I85" s="11" t="inlineStr">
        <is>
          <t>عدد</t>
        </is>
      </c>
      <c r="J85" s="10" t="n">
        <v>12</v>
      </c>
      <c r="K85" s="10" t="n">
        <v>1</v>
      </c>
      <c r="L85" s="11" t="inlineStr">
        <is>
          <t>-</t>
        </is>
      </c>
      <c r="M85" s="13" t="n"/>
      <c r="N85" s="13" t="n"/>
      <c r="O85" s="10" t="n">
        <v>100</v>
      </c>
      <c r="P85" s="11" t="inlineStr">
        <is>
          <t>مصرف مستقیم</t>
        </is>
      </c>
      <c r="Q85" s="10">
        <f>SUMIFS('ورودی برنامه'!$D$4:$D$16,'ورودی برنامه'!$A$4:$A$16,A85,'ورودی برنامه'!$C$4:$C$16,C85)</f>
        <v>1500</v>
      </c>
      <c r="R85" s="10">
        <f>SUMIFS('ورودی برنامه'!$E$4:$E$16,'ورودی برنامه'!$A$4:$A$16,A85,'ورودی برنامه'!$C$4:$C$16,C85)</f>
        <v>0</v>
      </c>
      <c r="S85" s="10">
        <f>ROUND(Q85*J85/K85*O85/100,10)</f>
        <v>18000</v>
      </c>
      <c r="T85" s="10">
        <f>ROUND(R85*J85/K85*O85/100,10)</f>
        <v>0</v>
      </c>
      <c r="U85" s="10" t="n">
        <v>18000</v>
      </c>
      <c r="V85" s="10" t="n">
        <v>0</v>
      </c>
    </row>
    <row r="86" ht="20" customHeight="1">
      <c r="A86" s="5" t="n">
        <v>1200151</v>
      </c>
      <c r="B86" s="6" t="inlineStr">
        <is>
          <t>درایو کولر BLDC کنترل ماشینی شده</t>
        </is>
      </c>
      <c r="C86" s="6" t="inlineStr">
        <is>
          <t>12001510106</t>
        </is>
      </c>
      <c r="D86" s="6" t="inlineStr">
        <is>
          <t>1404/05/20</t>
        </is>
      </c>
      <c r="E86" s="9" t="n"/>
      <c r="F86" s="5" t="n">
        <v>31517</v>
      </c>
      <c r="G86" s="5" t="n">
        <v>1110705</v>
      </c>
      <c r="H86" s="6" t="inlineStr">
        <is>
          <t>Resistor 15K,1%,1/10W (3001795</t>
        </is>
      </c>
      <c r="I86" s="6" t="inlineStr">
        <is>
          <t>عدد</t>
        </is>
      </c>
      <c r="J86" s="5" t="n">
        <v>5</v>
      </c>
      <c r="K86" s="5" t="n">
        <v>1</v>
      </c>
      <c r="L86" s="6" t="inlineStr">
        <is>
          <t>-</t>
        </is>
      </c>
      <c r="M86" s="9" t="n"/>
      <c r="N86" s="9" t="n"/>
      <c r="O86" s="5" t="n">
        <v>100</v>
      </c>
      <c r="P86" s="6" t="inlineStr">
        <is>
          <t>مصرف مستقیم</t>
        </is>
      </c>
      <c r="Q86" s="5">
        <f>SUMIFS('ورودی برنامه'!$D$4:$D$16,'ورودی برنامه'!$A$4:$A$16,A86,'ورودی برنامه'!$C$4:$C$16,C86)</f>
        <v>1500</v>
      </c>
      <c r="R86" s="5">
        <f>SUMIFS('ورودی برنامه'!$E$4:$E$16,'ورودی برنامه'!$A$4:$A$16,A86,'ورودی برنامه'!$C$4:$C$16,C86)</f>
        <v>0</v>
      </c>
      <c r="S86" s="5">
        <f>ROUND(Q86*J86/K86*O86/100,10)</f>
        <v>7500</v>
      </c>
      <c r="T86" s="5">
        <f>ROUND(R86*J86/K86*O86/100,10)</f>
        <v>0</v>
      </c>
      <c r="U86" s="5" t="n">
        <v>7500</v>
      </c>
      <c r="V86" s="5" t="n">
        <v>0</v>
      </c>
    </row>
    <row r="87" ht="20" customHeight="1">
      <c r="A87" s="10" t="n">
        <v>1200151</v>
      </c>
      <c r="B87" s="11" t="inlineStr">
        <is>
          <t>درایو کولر BLDC کنترل ماشینی شده</t>
        </is>
      </c>
      <c r="C87" s="11" t="inlineStr">
        <is>
          <t>12001510106</t>
        </is>
      </c>
      <c r="D87" s="11" t="inlineStr">
        <is>
          <t>1404/05/20</t>
        </is>
      </c>
      <c r="E87" s="13" t="n"/>
      <c r="F87" s="10" t="n">
        <v>31718</v>
      </c>
      <c r="G87" s="10" t="n">
        <v>1110139</v>
      </c>
      <c r="H87" s="11" t="inlineStr">
        <is>
          <t>Capacitor 220nF,GCM,50V,10%</t>
        </is>
      </c>
      <c r="I87" s="11" t="inlineStr">
        <is>
          <t>عدد</t>
        </is>
      </c>
      <c r="J87" s="10" t="n">
        <v>1</v>
      </c>
      <c r="K87" s="10" t="n">
        <v>1</v>
      </c>
      <c r="L87" s="11" t="inlineStr">
        <is>
          <t>-</t>
        </is>
      </c>
      <c r="M87" s="13" t="n"/>
      <c r="N87" s="13" t="n"/>
      <c r="O87" s="10" t="n">
        <v>100</v>
      </c>
      <c r="P87" s="11" t="inlineStr">
        <is>
          <t>مصرف مستقیم</t>
        </is>
      </c>
      <c r="Q87" s="10">
        <f>SUMIFS('ورودی برنامه'!$D$4:$D$16,'ورودی برنامه'!$A$4:$A$16,A87,'ورودی برنامه'!$C$4:$C$16,C87)</f>
        <v>1500</v>
      </c>
      <c r="R87" s="10">
        <f>SUMIFS('ورودی برنامه'!$E$4:$E$16,'ورودی برنامه'!$A$4:$A$16,A87,'ورودی برنامه'!$C$4:$C$16,C87)</f>
        <v>0</v>
      </c>
      <c r="S87" s="10">
        <f>ROUND(Q87*J87/K87*O87/100,10)</f>
        <v>1500</v>
      </c>
      <c r="T87" s="10">
        <f>ROUND(R87*J87/K87*O87/100,10)</f>
        <v>0</v>
      </c>
      <c r="U87" s="10" t="n">
        <v>1500</v>
      </c>
      <c r="V87" s="10" t="n">
        <v>0</v>
      </c>
    </row>
    <row r="88" ht="20" customHeight="1">
      <c r="A88" s="5" t="n">
        <v>1200151</v>
      </c>
      <c r="B88" s="6" t="inlineStr">
        <is>
          <t>درایو کولر BLDC کنترل ماشینی شده</t>
        </is>
      </c>
      <c r="C88" s="6" t="inlineStr">
        <is>
          <t>12001510106</t>
        </is>
      </c>
      <c r="D88" s="6" t="inlineStr">
        <is>
          <t>1404/05/20</t>
        </is>
      </c>
      <c r="E88" s="9" t="n"/>
      <c r="F88" s="5" t="n">
        <v>33579</v>
      </c>
      <c r="G88" s="5" t="n">
        <v>1110099</v>
      </c>
      <c r="H88" s="6" t="inlineStr">
        <is>
          <t>Capacitor 22PF,50V,NPO,5%</t>
        </is>
      </c>
      <c r="I88" s="6" t="inlineStr">
        <is>
          <t>عدد</t>
        </is>
      </c>
      <c r="J88" s="5" t="n">
        <v>2</v>
      </c>
      <c r="K88" s="5" t="n">
        <v>1</v>
      </c>
      <c r="L88" s="6" t="inlineStr">
        <is>
          <t>-</t>
        </is>
      </c>
      <c r="M88" s="9" t="n"/>
      <c r="N88" s="9" t="n"/>
      <c r="O88" s="5" t="n">
        <v>100</v>
      </c>
      <c r="P88" s="6" t="inlineStr">
        <is>
          <t>مصرف مستقیم</t>
        </is>
      </c>
      <c r="Q88" s="5">
        <f>SUMIFS('ورودی برنامه'!$D$4:$D$16,'ورودی برنامه'!$A$4:$A$16,A88,'ورودی برنامه'!$C$4:$C$16,C88)</f>
        <v>1500</v>
      </c>
      <c r="R88" s="5">
        <f>SUMIFS('ورودی برنامه'!$E$4:$E$16,'ورودی برنامه'!$A$4:$A$16,A88,'ورودی برنامه'!$C$4:$C$16,C88)</f>
        <v>0</v>
      </c>
      <c r="S88" s="5">
        <f>ROUND(Q88*J88/K88*O88/100,10)</f>
        <v>3000</v>
      </c>
      <c r="T88" s="5">
        <f>ROUND(R88*J88/K88*O88/100,10)</f>
        <v>0</v>
      </c>
      <c r="U88" s="5" t="n">
        <v>3000</v>
      </c>
      <c r="V88" s="5" t="n">
        <v>0</v>
      </c>
    </row>
    <row r="89" ht="20" customHeight="1">
      <c r="A89" s="10" t="n">
        <v>1200151</v>
      </c>
      <c r="B89" s="11" t="inlineStr">
        <is>
          <t>درایو کولر BLDC کنترل ماشینی شده</t>
        </is>
      </c>
      <c r="C89" s="11" t="inlineStr">
        <is>
          <t>12001510106</t>
        </is>
      </c>
      <c r="D89" s="11" t="inlineStr">
        <is>
          <t>1404/05/20</t>
        </is>
      </c>
      <c r="E89" s="13" t="n"/>
      <c r="F89" s="10" t="n">
        <v>34378</v>
      </c>
      <c r="G89" s="10" t="n">
        <v>1110760</v>
      </c>
      <c r="H89" s="11" t="inlineStr">
        <is>
          <t>Resistor 47,5%,1/10W</t>
        </is>
      </c>
      <c r="I89" s="11" t="inlineStr">
        <is>
          <t>عدد</t>
        </is>
      </c>
      <c r="J89" s="10" t="n">
        <v>1</v>
      </c>
      <c r="K89" s="10" t="n">
        <v>1</v>
      </c>
      <c r="L89" s="11" t="inlineStr">
        <is>
          <t>-</t>
        </is>
      </c>
      <c r="M89" s="13" t="n"/>
      <c r="N89" s="13" t="n"/>
      <c r="O89" s="10" t="n">
        <v>100</v>
      </c>
      <c r="P89" s="11" t="inlineStr">
        <is>
          <t>مصرف مستقیم</t>
        </is>
      </c>
      <c r="Q89" s="10">
        <f>SUMIFS('ورودی برنامه'!$D$4:$D$16,'ورودی برنامه'!$A$4:$A$16,A89,'ورودی برنامه'!$C$4:$C$16,C89)</f>
        <v>1500</v>
      </c>
      <c r="R89" s="10">
        <f>SUMIFS('ورودی برنامه'!$E$4:$E$16,'ورودی برنامه'!$A$4:$A$16,A89,'ورودی برنامه'!$C$4:$C$16,C89)</f>
        <v>0</v>
      </c>
      <c r="S89" s="10">
        <f>ROUND(Q89*J89/K89*O89/100,10)</f>
        <v>1500</v>
      </c>
      <c r="T89" s="10">
        <f>ROUND(R89*J89/K89*O89/100,10)</f>
        <v>0</v>
      </c>
      <c r="U89" s="10" t="n">
        <v>1500</v>
      </c>
      <c r="V89" s="10" t="n">
        <v>0</v>
      </c>
    </row>
    <row r="90" ht="20" customHeight="1">
      <c r="A90" s="5" t="n">
        <v>1200151</v>
      </c>
      <c r="B90" s="6" t="inlineStr">
        <is>
          <t>درایو کولر BLDC کنترل ماشینی شده</t>
        </is>
      </c>
      <c r="C90" s="6" t="inlineStr">
        <is>
          <t>12001510106</t>
        </is>
      </c>
      <c r="D90" s="6" t="inlineStr">
        <is>
          <t>1404/05/20</t>
        </is>
      </c>
      <c r="E90" s="9" t="n"/>
      <c r="F90" s="5" t="n">
        <v>34474</v>
      </c>
      <c r="G90" s="5" t="n">
        <v>1110761</v>
      </c>
      <c r="H90" s="6" t="inlineStr">
        <is>
          <t>Resistor 4.7k, 1%, 1/16W</t>
        </is>
      </c>
      <c r="I90" s="6" t="inlineStr">
        <is>
          <t>عدد</t>
        </is>
      </c>
      <c r="J90" s="5" t="n">
        <v>1</v>
      </c>
      <c r="K90" s="5" t="n">
        <v>1</v>
      </c>
      <c r="L90" s="6" t="inlineStr">
        <is>
          <t>-</t>
        </is>
      </c>
      <c r="M90" s="9" t="n"/>
      <c r="N90" s="9" t="n"/>
      <c r="O90" s="5" t="n">
        <v>100</v>
      </c>
      <c r="P90" s="6" t="inlineStr">
        <is>
          <t>مصرف مستقیم</t>
        </is>
      </c>
      <c r="Q90" s="5">
        <f>SUMIFS('ورودی برنامه'!$D$4:$D$16,'ورودی برنامه'!$A$4:$A$16,A90,'ورودی برنامه'!$C$4:$C$16,C90)</f>
        <v>1500</v>
      </c>
      <c r="R90" s="5">
        <f>SUMIFS('ورودی برنامه'!$E$4:$E$16,'ورودی برنامه'!$A$4:$A$16,A90,'ورودی برنامه'!$C$4:$C$16,C90)</f>
        <v>0</v>
      </c>
      <c r="S90" s="5">
        <f>ROUND(Q90*J90/K90*O90/100,10)</f>
        <v>1500</v>
      </c>
      <c r="T90" s="5">
        <f>ROUND(R90*J90/K90*O90/100,10)</f>
        <v>0</v>
      </c>
      <c r="U90" s="5" t="n">
        <v>1500</v>
      </c>
      <c r="V90" s="5" t="n">
        <v>0</v>
      </c>
    </row>
    <row r="91" ht="20" customHeight="1">
      <c r="A91" s="10" t="n">
        <v>1200932</v>
      </c>
      <c r="B91" s="11" t="inlineStr">
        <is>
          <t>جلوآمپر کنترل ماشینی شده ICN SOREN یکسان سازی</t>
        </is>
      </c>
      <c r="C91" s="11" t="inlineStr">
        <is>
          <t>12009320110</t>
        </is>
      </c>
      <c r="D91" s="11" t="inlineStr">
        <is>
          <t>1405/06/23</t>
        </is>
      </c>
      <c r="E91" s="13" t="n"/>
      <c r="F91" s="10" t="n">
        <v>483</v>
      </c>
      <c r="G91" s="10" t="n">
        <v>1110771</v>
      </c>
      <c r="H91" s="11" t="inlineStr">
        <is>
          <t>1206,Resistor 1.5K,5%,1/4W</t>
        </is>
      </c>
      <c r="I91" s="11" t="inlineStr">
        <is>
          <t>عدد</t>
        </is>
      </c>
      <c r="J91" s="10" t="n">
        <v>1</v>
      </c>
      <c r="K91" s="10" t="n">
        <v>1</v>
      </c>
      <c r="L91" s="11" t="inlineStr">
        <is>
          <t>12</t>
        </is>
      </c>
      <c r="M91" s="10" t="n">
        <v>1</v>
      </c>
      <c r="N91" s="10" t="n">
        <v>50</v>
      </c>
      <c r="O91" s="10">
        <f>N91</f>
        <v>50</v>
      </c>
      <c r="P91" s="11" t="inlineStr">
        <is>
          <t>سهم درصد استفاده BOM</t>
        </is>
      </c>
      <c r="Q91" s="10">
        <f>SUMIFS('ورودی برنامه'!$D$4:$D$16,'ورودی برنامه'!$A$4:$A$16,A91,'ورودی برنامه'!$C$4:$C$16,C91)</f>
        <v>650</v>
      </c>
      <c r="R91" s="10">
        <f>SUMIFS('ورودی برنامه'!$E$4:$E$16,'ورودی برنامه'!$A$4:$A$16,A91,'ورودی برنامه'!$C$4:$C$16,C91)</f>
        <v>800</v>
      </c>
      <c r="S91" s="10">
        <f>ROUND(Q91*J91/K91*O91/100,10)</f>
        <v>325</v>
      </c>
      <c r="T91" s="10">
        <f>ROUND(R91*J91/K91*O91/100,10)</f>
        <v>400</v>
      </c>
      <c r="U91" s="10" t="n">
        <v>71</v>
      </c>
      <c r="V91" s="10" t="n">
        <v>0</v>
      </c>
    </row>
    <row r="92" ht="20" customHeight="1">
      <c r="A92" s="5" t="n">
        <v>1200932</v>
      </c>
      <c r="B92" s="6" t="inlineStr">
        <is>
          <t>جلوآمپر کنترل ماشینی شده ICN SOREN یکسان سازی</t>
        </is>
      </c>
      <c r="C92" s="6" t="inlineStr">
        <is>
          <t>12009320110</t>
        </is>
      </c>
      <c r="D92" s="6" t="inlineStr">
        <is>
          <t>1405/06/23</t>
        </is>
      </c>
      <c r="E92" s="9" t="n"/>
      <c r="F92" s="5" t="n">
        <v>731</v>
      </c>
      <c r="G92" s="5" t="n">
        <v>1101039</v>
      </c>
      <c r="H92" s="6" t="inlineStr">
        <is>
          <t>Resistor 1.5K,5%,1/10W</t>
        </is>
      </c>
      <c r="I92" s="6" t="inlineStr">
        <is>
          <t>عدد</t>
        </is>
      </c>
      <c r="J92" s="5" t="n">
        <v>3</v>
      </c>
      <c r="K92" s="5" t="n">
        <v>1</v>
      </c>
      <c r="L92" s="6" t="inlineStr">
        <is>
          <t>10</t>
        </is>
      </c>
      <c r="M92" s="5" t="n">
        <v>1</v>
      </c>
      <c r="N92" s="5" t="n">
        <v>50</v>
      </c>
      <c r="O92" s="5">
        <f>N92</f>
        <v>50</v>
      </c>
      <c r="P92" s="6" t="inlineStr">
        <is>
          <t>سهم درصد استفاده BOM</t>
        </is>
      </c>
      <c r="Q92" s="5">
        <f>SUMIFS('ورودی برنامه'!$D$4:$D$16,'ورودی برنامه'!$A$4:$A$16,A92,'ورودی برنامه'!$C$4:$C$16,C92)</f>
        <v>650</v>
      </c>
      <c r="R92" s="5">
        <f>SUMIFS('ورودی برنامه'!$E$4:$E$16,'ورودی برنامه'!$A$4:$A$16,A92,'ورودی برنامه'!$C$4:$C$16,C92)</f>
        <v>800</v>
      </c>
      <c r="S92" s="5">
        <f>ROUND(Q92*J92/K92*O92/100,10)</f>
        <v>975</v>
      </c>
      <c r="T92" s="5">
        <f>ROUND(R92*J92/K92*O92/100,10)</f>
        <v>1200</v>
      </c>
      <c r="U92" s="5" t="n">
        <v>1950</v>
      </c>
      <c r="V92" s="5" t="n">
        <v>2400</v>
      </c>
    </row>
    <row r="93" ht="20" customHeight="1">
      <c r="A93" s="10" t="n">
        <v>1200932</v>
      </c>
      <c r="B93" s="11" t="inlineStr">
        <is>
          <t>جلوآمپر کنترل ماشینی شده ICN SOREN یکسان سازی</t>
        </is>
      </c>
      <c r="C93" s="11" t="inlineStr">
        <is>
          <t>12009320110</t>
        </is>
      </c>
      <c r="D93" s="11" t="inlineStr">
        <is>
          <t>1405/06/23</t>
        </is>
      </c>
      <c r="E93" s="13" t="n"/>
      <c r="F93" s="10" t="n">
        <v>849</v>
      </c>
      <c r="G93" s="10" t="n">
        <v>1101041</v>
      </c>
      <c r="H93" s="11" t="inlineStr">
        <is>
          <t>Resistor 2.2K,5%,1/10W</t>
        </is>
      </c>
      <c r="I93" s="11" t="inlineStr">
        <is>
          <t>عدد</t>
        </is>
      </c>
      <c r="J93" s="10" t="n">
        <v>4</v>
      </c>
      <c r="K93" s="10" t="n">
        <v>1</v>
      </c>
      <c r="L93" s="11" t="inlineStr">
        <is>
          <t>-</t>
        </is>
      </c>
      <c r="M93" s="13" t="n"/>
      <c r="N93" s="13" t="n"/>
      <c r="O93" s="10" t="n">
        <v>100</v>
      </c>
      <c r="P93" s="11" t="inlineStr">
        <is>
          <t>مصرف مستقیم</t>
        </is>
      </c>
      <c r="Q93" s="10">
        <f>SUMIFS('ورودی برنامه'!$D$4:$D$16,'ورودی برنامه'!$A$4:$A$16,A93,'ورودی برنامه'!$C$4:$C$16,C93)</f>
        <v>650</v>
      </c>
      <c r="R93" s="10">
        <f>SUMIFS('ورودی برنامه'!$E$4:$E$16,'ورودی برنامه'!$A$4:$A$16,A93,'ورودی برنامه'!$C$4:$C$16,C93)</f>
        <v>800</v>
      </c>
      <c r="S93" s="10">
        <f>ROUND(Q93*J93/K93*O93/100,10)</f>
        <v>2600</v>
      </c>
      <c r="T93" s="10">
        <f>ROUND(R93*J93/K93*O93/100,10)</f>
        <v>3200</v>
      </c>
      <c r="U93" s="10" t="n">
        <v>2600</v>
      </c>
      <c r="V93" s="10" t="n">
        <v>3200</v>
      </c>
    </row>
    <row r="94" ht="20" customHeight="1">
      <c r="A94" s="5" t="n">
        <v>1200932</v>
      </c>
      <c r="B94" s="6" t="inlineStr">
        <is>
          <t>جلوآمپر کنترل ماشینی شده ICN SOREN یکسان سازی</t>
        </is>
      </c>
      <c r="C94" s="6" t="inlineStr">
        <is>
          <t>12009320110</t>
        </is>
      </c>
      <c r="D94" s="6" t="inlineStr">
        <is>
          <t>1405/06/23</t>
        </is>
      </c>
      <c r="E94" s="9" t="n"/>
      <c r="F94" s="5" t="n">
        <v>3912</v>
      </c>
      <c r="G94" s="5" t="n">
        <v>1100105</v>
      </c>
      <c r="H94" s="6" t="inlineStr">
        <is>
          <t>PCB ICN SOREN CS RL78</t>
        </is>
      </c>
      <c r="I94" s="6" t="inlineStr">
        <is>
          <t>عدد(شمارشی)</t>
        </is>
      </c>
      <c r="J94" s="5" t="n">
        <v>1</v>
      </c>
      <c r="K94" s="5" t="n">
        <v>1</v>
      </c>
      <c r="L94" s="6" t="inlineStr">
        <is>
          <t>-</t>
        </is>
      </c>
      <c r="M94" s="9" t="n"/>
      <c r="N94" s="9" t="n"/>
      <c r="O94" s="5" t="n">
        <v>100</v>
      </c>
      <c r="P94" s="6" t="inlineStr">
        <is>
          <t>مصرف مستقیم</t>
        </is>
      </c>
      <c r="Q94" s="5">
        <f>SUMIFS('ورودی برنامه'!$D$4:$D$16,'ورودی برنامه'!$A$4:$A$16,A94,'ورودی برنامه'!$C$4:$C$16,C94)</f>
        <v>650</v>
      </c>
      <c r="R94" s="5">
        <f>SUMIFS('ورودی برنامه'!$E$4:$E$16,'ورودی برنامه'!$A$4:$A$16,A94,'ورودی برنامه'!$C$4:$C$16,C94)</f>
        <v>800</v>
      </c>
      <c r="S94" s="5">
        <f>ROUND(Q94*J94/K94*O94/100,10)</f>
        <v>650</v>
      </c>
      <c r="T94" s="5">
        <f>ROUND(R94*J94/K94*O94/100,10)</f>
        <v>800</v>
      </c>
      <c r="U94" s="5" t="n">
        <v>650</v>
      </c>
      <c r="V94" s="5" t="n">
        <v>800</v>
      </c>
    </row>
    <row r="95" ht="20" customHeight="1">
      <c r="A95" s="10" t="n">
        <v>1200932</v>
      </c>
      <c r="B95" s="11" t="inlineStr">
        <is>
          <t>جلوآمپر کنترل ماشینی شده ICN SOREN یکسان سازی</t>
        </is>
      </c>
      <c r="C95" s="11" t="inlineStr">
        <is>
          <t>12009320110</t>
        </is>
      </c>
      <c r="D95" s="11" t="inlineStr">
        <is>
          <t>1405/06/23</t>
        </is>
      </c>
      <c r="E95" s="13" t="n"/>
      <c r="F95" s="10" t="n">
        <v>6046</v>
      </c>
      <c r="G95" s="10" t="n">
        <v>1110303</v>
      </c>
      <c r="H95" s="11" t="inlineStr">
        <is>
          <t>Resistor 4.7K,5%,1/12W</t>
        </is>
      </c>
      <c r="I95" s="11" t="inlineStr">
        <is>
          <t>عدد</t>
        </is>
      </c>
      <c r="J95" s="10" t="n">
        <v>2</v>
      </c>
      <c r="K95" s="10" t="n">
        <v>1</v>
      </c>
      <c r="L95" s="11" t="inlineStr">
        <is>
          <t>15</t>
        </is>
      </c>
      <c r="M95" s="10" t="n">
        <v>1</v>
      </c>
      <c r="N95" s="10" t="n">
        <v>50</v>
      </c>
      <c r="O95" s="10">
        <f>N95</f>
        <v>50</v>
      </c>
      <c r="P95" s="11" t="inlineStr">
        <is>
          <t>سهم درصد استفاده BOM</t>
        </is>
      </c>
      <c r="Q95" s="10">
        <f>SUMIFS('ورودی برنامه'!$D$4:$D$16,'ورودی برنامه'!$A$4:$A$16,A95,'ورودی برنامه'!$C$4:$C$16,C95)</f>
        <v>650</v>
      </c>
      <c r="R95" s="10">
        <f>SUMIFS('ورودی برنامه'!$E$4:$E$16,'ورودی برنامه'!$A$4:$A$16,A95,'ورودی برنامه'!$C$4:$C$16,C95)</f>
        <v>800</v>
      </c>
      <c r="S95" s="10">
        <f>ROUND(Q95*J95/K95*O95/100,10)</f>
        <v>650</v>
      </c>
      <c r="T95" s="10">
        <f>ROUND(R95*J95/K95*O95/100,10)</f>
        <v>800</v>
      </c>
      <c r="U95" s="10" t="n">
        <v>1300</v>
      </c>
      <c r="V95" s="10" t="n">
        <v>1600</v>
      </c>
    </row>
    <row r="96" ht="20" customHeight="1">
      <c r="A96" s="5" t="n">
        <v>1200932</v>
      </c>
      <c r="B96" s="6" t="inlineStr">
        <is>
          <t>جلوآمپر کنترل ماشینی شده ICN SOREN یکسان سازی</t>
        </is>
      </c>
      <c r="C96" s="6" t="inlineStr">
        <is>
          <t>12009320110</t>
        </is>
      </c>
      <c r="D96" s="6" t="inlineStr">
        <is>
          <t>1405/06/23</t>
        </is>
      </c>
      <c r="E96" s="9" t="n"/>
      <c r="F96" s="5" t="n">
        <v>6328</v>
      </c>
      <c r="G96" s="5" t="n">
        <v>1110903</v>
      </c>
      <c r="H96" s="6" t="inlineStr">
        <is>
          <t>Diode 1N4007</t>
        </is>
      </c>
      <c r="I96" s="6" t="inlineStr">
        <is>
          <t>عدد</t>
        </is>
      </c>
      <c r="J96" s="5" t="n">
        <v>2</v>
      </c>
      <c r="K96" s="5" t="n">
        <v>1</v>
      </c>
      <c r="L96" s="6" t="inlineStr">
        <is>
          <t>1</t>
        </is>
      </c>
      <c r="M96" s="5" t="n">
        <v>1</v>
      </c>
      <c r="N96" s="5" t="n">
        <v>50</v>
      </c>
      <c r="O96" s="5">
        <f>N96</f>
        <v>50</v>
      </c>
      <c r="P96" s="6" t="inlineStr">
        <is>
          <t>سهم درصد استفاده BOM</t>
        </is>
      </c>
      <c r="Q96" s="5">
        <f>SUMIFS('ورودی برنامه'!$D$4:$D$16,'ورودی برنامه'!$A$4:$A$16,A96,'ورودی برنامه'!$C$4:$C$16,C96)</f>
        <v>650</v>
      </c>
      <c r="R96" s="5">
        <f>SUMIFS('ورودی برنامه'!$E$4:$E$16,'ورودی برنامه'!$A$4:$A$16,A96,'ورودی برنامه'!$C$4:$C$16,C96)</f>
        <v>800</v>
      </c>
      <c r="S96" s="5">
        <f>ROUND(Q96*J96/K96*O96/100,10)</f>
        <v>650</v>
      </c>
      <c r="T96" s="5">
        <f>ROUND(R96*J96/K96*O96/100,10)</f>
        <v>800</v>
      </c>
      <c r="U96" s="5" t="n">
        <v>1300</v>
      </c>
      <c r="V96" s="5" t="n">
        <v>1600</v>
      </c>
    </row>
    <row r="97" ht="20" customHeight="1">
      <c r="A97" s="10" t="n">
        <v>1200932</v>
      </c>
      <c r="B97" s="11" t="inlineStr">
        <is>
          <t>جلوآمپر کنترل ماشینی شده ICN SOREN یکسان سازی</t>
        </is>
      </c>
      <c r="C97" s="11" t="inlineStr">
        <is>
          <t>12009320110</t>
        </is>
      </c>
      <c r="D97" s="11" t="inlineStr">
        <is>
          <t>1405/06/23</t>
        </is>
      </c>
      <c r="E97" s="13" t="n"/>
      <c r="F97" s="10" t="n">
        <v>7000</v>
      </c>
      <c r="G97" s="10" t="n">
        <v>1110293</v>
      </c>
      <c r="H97" s="11" t="inlineStr">
        <is>
          <t>Resistor 2.2K,1%,1/4W</t>
        </is>
      </c>
      <c r="I97" s="11" t="inlineStr">
        <is>
          <t>عدد</t>
        </is>
      </c>
      <c r="J97" s="10" t="n">
        <v>1</v>
      </c>
      <c r="K97" s="10" t="n">
        <v>1</v>
      </c>
      <c r="L97" s="11" t="inlineStr">
        <is>
          <t>8</t>
        </is>
      </c>
      <c r="M97" s="10" t="n">
        <v>2</v>
      </c>
      <c r="N97" s="10" t="n">
        <v>50</v>
      </c>
      <c r="O97" s="10">
        <f>N97</f>
        <v>50</v>
      </c>
      <c r="P97" s="11" t="inlineStr">
        <is>
          <t>سهم درصد استفاده BOM</t>
        </is>
      </c>
      <c r="Q97" s="10">
        <f>SUMIFS('ورودی برنامه'!$D$4:$D$16,'ورودی برنامه'!$A$4:$A$16,A97,'ورودی برنامه'!$C$4:$C$16,C97)</f>
        <v>650</v>
      </c>
      <c r="R97" s="10">
        <f>SUMIFS('ورودی برنامه'!$E$4:$E$16,'ورودی برنامه'!$A$4:$A$16,A97,'ورودی برنامه'!$C$4:$C$16,C97)</f>
        <v>800</v>
      </c>
      <c r="S97" s="10">
        <f>ROUND(Q97*J97/K97*O97/100,10)</f>
        <v>325</v>
      </c>
      <c r="T97" s="10">
        <f>ROUND(R97*J97/K97*O97/100,10)</f>
        <v>400</v>
      </c>
      <c r="U97" s="10" t="n">
        <v>0</v>
      </c>
      <c r="V97" s="10" t="n">
        <v>0</v>
      </c>
    </row>
    <row r="98" ht="20" customHeight="1">
      <c r="A98" s="5" t="n">
        <v>1200932</v>
      </c>
      <c r="B98" s="6" t="inlineStr">
        <is>
          <t>جلوآمپر کنترل ماشینی شده ICN SOREN یکسان سازی</t>
        </is>
      </c>
      <c r="C98" s="6" t="inlineStr">
        <is>
          <t>12009320110</t>
        </is>
      </c>
      <c r="D98" s="6" t="inlineStr">
        <is>
          <t>1405/06/23</t>
        </is>
      </c>
      <c r="E98" s="9" t="n"/>
      <c r="F98" s="5" t="n">
        <v>7104</v>
      </c>
      <c r="G98" s="5" t="n">
        <v>1110229</v>
      </c>
      <c r="H98" s="6" t="inlineStr">
        <is>
          <t>Resistor 680,5%,1/4W.</t>
        </is>
      </c>
      <c r="I98" s="6" t="inlineStr">
        <is>
          <t>عدد</t>
        </is>
      </c>
      <c r="J98" s="5" t="n">
        <v>14</v>
      </c>
      <c r="K98" s="5" t="n">
        <v>1</v>
      </c>
      <c r="L98" s="6" t="inlineStr">
        <is>
          <t>9</t>
        </is>
      </c>
      <c r="M98" s="5" t="n">
        <v>1</v>
      </c>
      <c r="N98" s="5" t="n">
        <v>50</v>
      </c>
      <c r="O98" s="5">
        <f>N98</f>
        <v>50</v>
      </c>
      <c r="P98" s="6" t="inlineStr">
        <is>
          <t>سهم درصد استفاده BOM</t>
        </is>
      </c>
      <c r="Q98" s="5">
        <f>SUMIFS('ورودی برنامه'!$D$4:$D$16,'ورودی برنامه'!$A$4:$A$16,A98,'ورودی برنامه'!$C$4:$C$16,C98)</f>
        <v>650</v>
      </c>
      <c r="R98" s="5">
        <f>SUMIFS('ورودی برنامه'!$E$4:$E$16,'ورودی برنامه'!$A$4:$A$16,A98,'ورودی برنامه'!$C$4:$C$16,C98)</f>
        <v>800</v>
      </c>
      <c r="S98" s="5">
        <f>ROUND(Q98*J98/K98*O98/100,10)</f>
        <v>4550</v>
      </c>
      <c r="T98" s="5">
        <f>ROUND(R98*J98/K98*O98/100,10)</f>
        <v>5600</v>
      </c>
      <c r="U98" s="5" t="n">
        <v>9100</v>
      </c>
      <c r="V98" s="5" t="n">
        <v>11200</v>
      </c>
    </row>
    <row r="99" ht="20" customHeight="1">
      <c r="A99" s="10" t="n">
        <v>1200932</v>
      </c>
      <c r="B99" s="11" t="inlineStr">
        <is>
          <t>جلوآمپر کنترل ماشینی شده ICN SOREN یکسان سازی</t>
        </is>
      </c>
      <c r="C99" s="11" t="inlineStr">
        <is>
          <t>12009320110</t>
        </is>
      </c>
      <c r="D99" s="11" t="inlineStr">
        <is>
          <t>1405/06/23</t>
        </is>
      </c>
      <c r="E99" s="13" t="n"/>
      <c r="F99" s="10" t="n">
        <v>7727</v>
      </c>
      <c r="G99" s="10" t="n">
        <v>1110285</v>
      </c>
      <c r="H99" s="11" t="inlineStr">
        <is>
          <t>Resistor 1.5k,1%,1/4w</t>
        </is>
      </c>
      <c r="I99" s="11" t="inlineStr">
        <is>
          <t>عدد</t>
        </is>
      </c>
      <c r="J99" s="10" t="n">
        <v>1</v>
      </c>
      <c r="K99" s="10" t="n">
        <v>1</v>
      </c>
      <c r="L99" s="11" t="inlineStr">
        <is>
          <t>12</t>
        </is>
      </c>
      <c r="M99" s="10" t="n">
        <v>2</v>
      </c>
      <c r="N99" s="10" t="n">
        <v>50</v>
      </c>
      <c r="O99" s="10">
        <f>N99</f>
        <v>50</v>
      </c>
      <c r="P99" s="11" t="inlineStr">
        <is>
          <t>سهم درصد استفاده BOM</t>
        </is>
      </c>
      <c r="Q99" s="10">
        <f>SUMIFS('ورودی برنامه'!$D$4:$D$16,'ورودی برنامه'!$A$4:$A$16,A99,'ورودی برنامه'!$C$4:$C$16,C99)</f>
        <v>650</v>
      </c>
      <c r="R99" s="10">
        <f>SUMIFS('ورودی برنامه'!$E$4:$E$16,'ورودی برنامه'!$A$4:$A$16,A99,'ورودی برنامه'!$C$4:$C$16,C99)</f>
        <v>800</v>
      </c>
      <c r="S99" s="10">
        <f>ROUND(Q99*J99/K99*O99/100,10)</f>
        <v>325</v>
      </c>
      <c r="T99" s="10">
        <f>ROUND(R99*J99/K99*O99/100,10)</f>
        <v>400</v>
      </c>
      <c r="U99" s="10" t="n">
        <v>579</v>
      </c>
      <c r="V99" s="10" t="n">
        <v>800</v>
      </c>
    </row>
    <row r="100" ht="20" customHeight="1">
      <c r="A100" s="5" t="n">
        <v>1200932</v>
      </c>
      <c r="B100" s="6" t="inlineStr">
        <is>
          <t>جلوآمپر کنترل ماشینی شده ICN SOREN یکسان سازی</t>
        </is>
      </c>
      <c r="C100" s="6" t="inlineStr">
        <is>
          <t>12009320110</t>
        </is>
      </c>
      <c r="D100" s="6" t="inlineStr">
        <is>
          <t>1405/06/23</t>
        </is>
      </c>
      <c r="E100" s="9" t="n"/>
      <c r="F100" s="5" t="n">
        <v>7741</v>
      </c>
      <c r="G100" s="5" t="n">
        <v>1110856</v>
      </c>
      <c r="H100" s="6" t="inlineStr">
        <is>
          <t>LED Red-RQS 170TS-DPE</t>
        </is>
      </c>
      <c r="I100" s="6" t="inlineStr">
        <is>
          <t>عدد</t>
        </is>
      </c>
      <c r="J100" s="5" t="n">
        <v>4</v>
      </c>
      <c r="K100" s="5" t="n">
        <v>1</v>
      </c>
      <c r="L100" s="6" t="inlineStr">
        <is>
          <t>-</t>
        </is>
      </c>
      <c r="M100" s="9" t="n"/>
      <c r="N100" s="9" t="n"/>
      <c r="O100" s="5" t="n">
        <v>100</v>
      </c>
      <c r="P100" s="6" t="inlineStr">
        <is>
          <t>مصرف مستقیم</t>
        </is>
      </c>
      <c r="Q100" s="5">
        <f>SUMIFS('ورودی برنامه'!$D$4:$D$16,'ورودی برنامه'!$A$4:$A$16,A100,'ورودی برنامه'!$C$4:$C$16,C100)</f>
        <v>650</v>
      </c>
      <c r="R100" s="5">
        <f>SUMIFS('ورودی برنامه'!$E$4:$E$16,'ورودی برنامه'!$A$4:$A$16,A100,'ورودی برنامه'!$C$4:$C$16,C100)</f>
        <v>800</v>
      </c>
      <c r="S100" s="5">
        <f>ROUND(Q100*J100/K100*O100/100,10)</f>
        <v>2600</v>
      </c>
      <c r="T100" s="5">
        <f>ROUND(R100*J100/K100*O100/100,10)</f>
        <v>3200</v>
      </c>
      <c r="U100" s="5" t="n">
        <v>2600</v>
      </c>
      <c r="V100" s="5" t="n">
        <v>3200</v>
      </c>
    </row>
    <row r="101" ht="20" customHeight="1">
      <c r="A101" s="10" t="n">
        <v>1200932</v>
      </c>
      <c r="B101" s="11" t="inlineStr">
        <is>
          <t>جلوآمپر کنترل ماشینی شده ICN SOREN یکسان سازی</t>
        </is>
      </c>
      <c r="C101" s="11" t="inlineStr">
        <is>
          <t>12009320110</t>
        </is>
      </c>
      <c r="D101" s="11" t="inlineStr">
        <is>
          <t>1405/06/23</t>
        </is>
      </c>
      <c r="E101" s="13" t="n"/>
      <c r="F101" s="10" t="n">
        <v>7985</v>
      </c>
      <c r="G101" s="10" t="n">
        <v>1110857</v>
      </c>
      <c r="H101" s="11" t="inlineStr">
        <is>
          <t>LED-Red-RQDA31TZ-WPE</t>
        </is>
      </c>
      <c r="I101" s="11" t="inlineStr">
        <is>
          <t>عدد</t>
        </is>
      </c>
      <c r="J101" s="10" t="n">
        <v>12</v>
      </c>
      <c r="K101" s="10" t="n">
        <v>1</v>
      </c>
      <c r="L101" s="11" t="inlineStr">
        <is>
          <t>2</t>
        </is>
      </c>
      <c r="M101" s="10" t="n">
        <v>1</v>
      </c>
      <c r="N101" s="10" t="n">
        <v>50</v>
      </c>
      <c r="O101" s="10">
        <f>N101</f>
        <v>50</v>
      </c>
      <c r="P101" s="11" t="inlineStr">
        <is>
          <t>سهم درصد استفاده BOM</t>
        </is>
      </c>
      <c r="Q101" s="10">
        <f>SUMIFS('ورودی برنامه'!$D$4:$D$16,'ورودی برنامه'!$A$4:$A$16,A101,'ورودی برنامه'!$C$4:$C$16,C101)</f>
        <v>650</v>
      </c>
      <c r="R101" s="10">
        <f>SUMIFS('ورودی برنامه'!$E$4:$E$16,'ورودی برنامه'!$A$4:$A$16,A101,'ورودی برنامه'!$C$4:$C$16,C101)</f>
        <v>800</v>
      </c>
      <c r="S101" s="10">
        <f>ROUND(Q101*J101/K101*O101/100,10)</f>
        <v>3900</v>
      </c>
      <c r="T101" s="10">
        <f>ROUND(R101*J101/K101*O101/100,10)</f>
        <v>4800</v>
      </c>
      <c r="U101" s="10" t="n">
        <v>7800</v>
      </c>
      <c r="V101" s="10" t="n">
        <v>9600</v>
      </c>
    </row>
    <row r="102" ht="20" customHeight="1">
      <c r="A102" s="5" t="n">
        <v>1200932</v>
      </c>
      <c r="B102" s="6" t="inlineStr">
        <is>
          <t>جلوآمپر کنترل ماشینی شده ICN SOREN یکسان سازی</t>
        </is>
      </c>
      <c r="C102" s="6" t="inlineStr">
        <is>
          <t>12009320110</t>
        </is>
      </c>
      <c r="D102" s="6" t="inlineStr">
        <is>
          <t>1405/06/23</t>
        </is>
      </c>
      <c r="E102" s="9" t="n"/>
      <c r="F102" s="5" t="n">
        <v>8277</v>
      </c>
      <c r="G102" s="5" t="n">
        <v>1110851</v>
      </c>
      <c r="H102" s="6" t="inlineStr">
        <is>
          <t>LED Yellow-LY T68B-T2V1-26</t>
        </is>
      </c>
      <c r="I102" s="6" t="inlineStr">
        <is>
          <t>عدد</t>
        </is>
      </c>
      <c r="J102" s="5" t="n">
        <v>11</v>
      </c>
      <c r="K102" s="5" t="n">
        <v>1</v>
      </c>
      <c r="L102" s="6" t="inlineStr">
        <is>
          <t>-</t>
        </is>
      </c>
      <c r="M102" s="9" t="n"/>
      <c r="N102" s="9" t="n"/>
      <c r="O102" s="5" t="n">
        <v>100</v>
      </c>
      <c r="P102" s="6" t="inlineStr">
        <is>
          <t>مصرف مستقیم</t>
        </is>
      </c>
      <c r="Q102" s="5">
        <f>SUMIFS('ورودی برنامه'!$D$4:$D$16,'ورودی برنامه'!$A$4:$A$16,A102,'ورودی برنامه'!$C$4:$C$16,C102)</f>
        <v>650</v>
      </c>
      <c r="R102" s="5">
        <f>SUMIFS('ورودی برنامه'!$E$4:$E$16,'ورودی برنامه'!$A$4:$A$16,A102,'ورودی برنامه'!$C$4:$C$16,C102)</f>
        <v>800</v>
      </c>
      <c r="S102" s="5">
        <f>ROUND(Q102*J102/K102*O102/100,10)</f>
        <v>7150</v>
      </c>
      <c r="T102" s="5">
        <f>ROUND(R102*J102/K102*O102/100,10)</f>
        <v>8800</v>
      </c>
      <c r="U102" s="5" t="n">
        <v>7150</v>
      </c>
      <c r="V102" s="5" t="n">
        <v>8800</v>
      </c>
    </row>
    <row r="103" ht="20" customHeight="1">
      <c r="A103" s="10" t="n">
        <v>1200932</v>
      </c>
      <c r="B103" s="11" t="inlineStr">
        <is>
          <t>جلوآمپر کنترل ماشینی شده ICN SOREN یکسان سازی</t>
        </is>
      </c>
      <c r="C103" s="11" t="inlineStr">
        <is>
          <t>12009320110</t>
        </is>
      </c>
      <c r="D103" s="11" t="inlineStr">
        <is>
          <t>1405/06/23</t>
        </is>
      </c>
      <c r="E103" s="13" t="n"/>
      <c r="F103" s="10" t="n">
        <v>8292</v>
      </c>
      <c r="G103" s="10" t="n">
        <v>1110853</v>
      </c>
      <c r="H103" s="11" t="inlineStr">
        <is>
          <t>LED Green-LP T67K-F1G2-25</t>
        </is>
      </c>
      <c r="I103" s="11" t="inlineStr">
        <is>
          <t>عدد</t>
        </is>
      </c>
      <c r="J103" s="10" t="n">
        <v>2</v>
      </c>
      <c r="K103" s="10" t="n">
        <v>1</v>
      </c>
      <c r="L103" s="11" t="inlineStr">
        <is>
          <t>-</t>
        </is>
      </c>
      <c r="M103" s="13" t="n"/>
      <c r="N103" s="13" t="n"/>
      <c r="O103" s="10" t="n">
        <v>100</v>
      </c>
      <c r="P103" s="11" t="inlineStr">
        <is>
          <t>مصرف مستقیم</t>
        </is>
      </c>
      <c r="Q103" s="10">
        <f>SUMIFS('ورودی برنامه'!$D$4:$D$16,'ورودی برنامه'!$A$4:$A$16,A103,'ورودی برنامه'!$C$4:$C$16,C103)</f>
        <v>650</v>
      </c>
      <c r="R103" s="10">
        <f>SUMIFS('ورودی برنامه'!$E$4:$E$16,'ورودی برنامه'!$A$4:$A$16,A103,'ورودی برنامه'!$C$4:$C$16,C103)</f>
        <v>800</v>
      </c>
      <c r="S103" s="10">
        <f>ROUND(Q103*J103/K103*O103/100,10)</f>
        <v>1300</v>
      </c>
      <c r="T103" s="10">
        <f>ROUND(R103*J103/K103*O103/100,10)</f>
        <v>1600</v>
      </c>
      <c r="U103" s="10" t="n">
        <v>1300</v>
      </c>
      <c r="V103" s="10" t="n">
        <v>1600</v>
      </c>
    </row>
    <row r="104" ht="20" customHeight="1">
      <c r="A104" s="5" t="n">
        <v>1200932</v>
      </c>
      <c r="B104" s="6" t="inlineStr">
        <is>
          <t>جلوآمپر کنترل ماشینی شده ICN SOREN یکسان سازی</t>
        </is>
      </c>
      <c r="C104" s="6" t="inlineStr">
        <is>
          <t>12009320110</t>
        </is>
      </c>
      <c r="D104" s="6" t="inlineStr">
        <is>
          <t>1405/06/23</t>
        </is>
      </c>
      <c r="E104" s="9" t="n"/>
      <c r="F104" s="5" t="n">
        <v>8456</v>
      </c>
      <c r="G104" s="5" t="n">
        <v>1110858</v>
      </c>
      <c r="H104" s="6" t="inlineStr">
        <is>
          <t>LED Blue-LB T676-K2L2-1</t>
        </is>
      </c>
      <c r="I104" s="6" t="inlineStr">
        <is>
          <t>عدد</t>
        </is>
      </c>
      <c r="J104" s="5" t="n">
        <v>1</v>
      </c>
      <c r="K104" s="5" t="n">
        <v>1</v>
      </c>
      <c r="L104" s="6" t="inlineStr">
        <is>
          <t>4</t>
        </is>
      </c>
      <c r="M104" s="5" t="n">
        <v>1</v>
      </c>
      <c r="N104" s="5" t="n">
        <v>34</v>
      </c>
      <c r="O104" s="5">
        <f>N104</f>
        <v>34</v>
      </c>
      <c r="P104" s="6" t="inlineStr">
        <is>
          <t>سهم درصد استفاده BOM</t>
        </is>
      </c>
      <c r="Q104" s="5">
        <f>SUMIFS('ورودی برنامه'!$D$4:$D$16,'ورودی برنامه'!$A$4:$A$16,A104,'ورودی برنامه'!$C$4:$C$16,C104)</f>
        <v>650</v>
      </c>
      <c r="R104" s="5">
        <f>SUMIFS('ورودی برنامه'!$E$4:$E$16,'ورودی برنامه'!$A$4:$A$16,A104,'ورودی برنامه'!$C$4:$C$16,C104)</f>
        <v>800</v>
      </c>
      <c r="S104" s="5">
        <f>ROUND(Q104*J104/K104*O104/100,10)</f>
        <v>221</v>
      </c>
      <c r="T104" s="5">
        <f>ROUND(R104*J104/K104*O104/100,10)</f>
        <v>272</v>
      </c>
      <c r="U104" s="5" t="n">
        <v>650</v>
      </c>
      <c r="V104" s="5" t="n">
        <v>800</v>
      </c>
    </row>
    <row r="105" ht="20" customHeight="1">
      <c r="A105" s="10" t="n">
        <v>1200932</v>
      </c>
      <c r="B105" s="11" t="inlineStr">
        <is>
          <t>جلوآمپر کنترل ماشینی شده ICN SOREN یکسان سازی</t>
        </is>
      </c>
      <c r="C105" s="11" t="inlineStr">
        <is>
          <t>12009320110</t>
        </is>
      </c>
      <c r="D105" s="11" t="inlineStr">
        <is>
          <t>1405/06/23</t>
        </is>
      </c>
      <c r="E105" s="13" t="n"/>
      <c r="F105" s="10" t="n">
        <v>9274</v>
      </c>
      <c r="G105" s="10" t="n">
        <v>1110281</v>
      </c>
      <c r="H105" s="11" t="inlineStr">
        <is>
          <t>Resistor 1K,1%,1/4W</t>
        </is>
      </c>
      <c r="I105" s="11" t="inlineStr">
        <is>
          <t>عدد</t>
        </is>
      </c>
      <c r="J105" s="10" t="n">
        <v>9</v>
      </c>
      <c r="K105" s="10" t="n">
        <v>1</v>
      </c>
      <c r="L105" s="11" t="inlineStr">
        <is>
          <t>7</t>
        </is>
      </c>
      <c r="M105" s="10" t="n">
        <v>2</v>
      </c>
      <c r="N105" s="10" t="n">
        <v>50</v>
      </c>
      <c r="O105" s="10">
        <f>N105</f>
        <v>50</v>
      </c>
      <c r="P105" s="11" t="inlineStr">
        <is>
          <t>سهم درصد استفاده BOM</t>
        </is>
      </c>
      <c r="Q105" s="10">
        <f>SUMIFS('ورودی برنامه'!$D$4:$D$16,'ورودی برنامه'!$A$4:$A$16,A105,'ورودی برنامه'!$C$4:$C$16,C105)</f>
        <v>650</v>
      </c>
      <c r="R105" s="10">
        <f>SUMIFS('ورودی برنامه'!$E$4:$E$16,'ورودی برنامه'!$A$4:$A$16,A105,'ورودی برنامه'!$C$4:$C$16,C105)</f>
        <v>800</v>
      </c>
      <c r="S105" s="10">
        <f>ROUND(Q105*J105/K105*O105/100,10)</f>
        <v>2925</v>
      </c>
      <c r="T105" s="10">
        <f>ROUND(R105*J105/K105*O105/100,10)</f>
        <v>3600</v>
      </c>
      <c r="U105" s="10" t="n">
        <v>0</v>
      </c>
      <c r="V105" s="10" t="n">
        <v>0</v>
      </c>
    </row>
    <row r="106" ht="20" customHeight="1">
      <c r="A106" s="5" t="n">
        <v>1200932</v>
      </c>
      <c r="B106" s="6" t="inlineStr">
        <is>
          <t>جلوآمپر کنترل ماشینی شده ICN SOREN یکسان سازی</t>
        </is>
      </c>
      <c r="C106" s="6" t="inlineStr">
        <is>
          <t>12009320110</t>
        </is>
      </c>
      <c r="D106" s="6" t="inlineStr">
        <is>
          <t>1405/06/23</t>
        </is>
      </c>
      <c r="E106" s="9" t="n"/>
      <c r="F106" s="5" t="n">
        <v>9277</v>
      </c>
      <c r="G106" s="5" t="n">
        <v>1110075</v>
      </c>
      <c r="H106" s="6" t="inlineStr">
        <is>
          <t>Capacitor 10N,50V,X7R,10%</t>
        </is>
      </c>
      <c r="I106" s="6" t="inlineStr">
        <is>
          <t>عدد</t>
        </is>
      </c>
      <c r="J106" s="5" t="n">
        <v>9</v>
      </c>
      <c r="K106" s="5" t="n">
        <v>1</v>
      </c>
      <c r="L106" s="6" t="inlineStr">
        <is>
          <t>-</t>
        </is>
      </c>
      <c r="M106" s="9" t="n"/>
      <c r="N106" s="9" t="n"/>
      <c r="O106" s="5" t="n">
        <v>100</v>
      </c>
      <c r="P106" s="6" t="inlineStr">
        <is>
          <t>مصرف مستقیم</t>
        </is>
      </c>
      <c r="Q106" s="5">
        <f>SUMIFS('ورودی برنامه'!$D$4:$D$16,'ورودی برنامه'!$A$4:$A$16,A106,'ورودی برنامه'!$C$4:$C$16,C106)</f>
        <v>650</v>
      </c>
      <c r="R106" s="5">
        <f>SUMIFS('ورودی برنامه'!$E$4:$E$16,'ورودی برنامه'!$A$4:$A$16,A106,'ورودی برنامه'!$C$4:$C$16,C106)</f>
        <v>800</v>
      </c>
      <c r="S106" s="5">
        <f>ROUND(Q106*J106/K106*O106/100,10)</f>
        <v>5850</v>
      </c>
      <c r="T106" s="5">
        <f>ROUND(R106*J106/K106*O106/100,10)</f>
        <v>7200</v>
      </c>
      <c r="U106" s="5" t="n">
        <v>5850</v>
      </c>
      <c r="V106" s="5" t="n">
        <v>7200</v>
      </c>
    </row>
    <row r="107" ht="20" customHeight="1">
      <c r="A107" s="10" t="n">
        <v>1200932</v>
      </c>
      <c r="B107" s="11" t="inlineStr">
        <is>
          <t>جلوآمپر کنترل ماشینی شده ICN SOREN یکسان سازی</t>
        </is>
      </c>
      <c r="C107" s="11" t="inlineStr">
        <is>
          <t>12009320110</t>
        </is>
      </c>
      <c r="D107" s="11" t="inlineStr">
        <is>
          <t>1405/06/23</t>
        </is>
      </c>
      <c r="E107" s="13" t="n"/>
      <c r="F107" s="10" t="n">
        <v>9647</v>
      </c>
      <c r="G107" s="10" t="n">
        <v>1110960</v>
      </c>
      <c r="H107" s="11" t="inlineStr">
        <is>
          <t>LED Red LS</t>
        </is>
      </c>
      <c r="I107" s="11" t="inlineStr">
        <is>
          <t>عدد</t>
        </is>
      </c>
      <c r="J107" s="10" t="n">
        <v>12</v>
      </c>
      <c r="K107" s="10" t="n">
        <v>1</v>
      </c>
      <c r="L107" s="11" t="inlineStr">
        <is>
          <t>2</t>
        </is>
      </c>
      <c r="M107" s="10" t="n">
        <v>2</v>
      </c>
      <c r="N107" s="10" t="n">
        <v>50</v>
      </c>
      <c r="O107" s="10">
        <f>N107</f>
        <v>50</v>
      </c>
      <c r="P107" s="11" t="inlineStr">
        <is>
          <t>سهم درصد استفاده BOM</t>
        </is>
      </c>
      <c r="Q107" s="10">
        <f>SUMIFS('ورودی برنامه'!$D$4:$D$16,'ورودی برنامه'!$A$4:$A$16,A107,'ورودی برنامه'!$C$4:$C$16,C107)</f>
        <v>650</v>
      </c>
      <c r="R107" s="10">
        <f>SUMIFS('ورودی برنامه'!$E$4:$E$16,'ورودی برنامه'!$A$4:$A$16,A107,'ورودی برنامه'!$C$4:$C$16,C107)</f>
        <v>800</v>
      </c>
      <c r="S107" s="10">
        <f>ROUND(Q107*J107/K107*O107/100,10)</f>
        <v>3900</v>
      </c>
      <c r="T107" s="10">
        <f>ROUND(R107*J107/K107*O107/100,10)</f>
        <v>4800</v>
      </c>
      <c r="U107" s="10" t="n">
        <v>0</v>
      </c>
      <c r="V107" s="10" t="n">
        <v>0</v>
      </c>
    </row>
    <row r="108" ht="20" customHeight="1">
      <c r="A108" s="5" t="n">
        <v>1200932</v>
      </c>
      <c r="B108" s="6" t="inlineStr">
        <is>
          <t>جلوآمپر کنترل ماشینی شده ICN SOREN یکسان سازی</t>
        </is>
      </c>
      <c r="C108" s="6" t="inlineStr">
        <is>
          <t>12009320110</t>
        </is>
      </c>
      <c r="D108" s="6" t="inlineStr">
        <is>
          <t>1405/06/23</t>
        </is>
      </c>
      <c r="E108" s="9" t="n"/>
      <c r="F108" s="5" t="n">
        <v>9843</v>
      </c>
      <c r="G108" s="5" t="n">
        <v>1110860</v>
      </c>
      <c r="H108" s="6" t="inlineStr">
        <is>
          <t>LED True Green</t>
        </is>
      </c>
      <c r="I108" s="6" t="inlineStr">
        <is>
          <t>عدد</t>
        </is>
      </c>
      <c r="J108" s="5" t="n">
        <v>3</v>
      </c>
      <c r="K108" s="5" t="n">
        <v>1</v>
      </c>
      <c r="L108" s="6" t="inlineStr">
        <is>
          <t>5</t>
        </is>
      </c>
      <c r="M108" s="5" t="n">
        <v>1</v>
      </c>
      <c r="N108" s="5" t="n">
        <v>50</v>
      </c>
      <c r="O108" s="5">
        <f>N108</f>
        <v>50</v>
      </c>
      <c r="P108" s="6" t="inlineStr">
        <is>
          <t>سهم درصد استفاده BOM</t>
        </is>
      </c>
      <c r="Q108" s="5">
        <f>SUMIFS('ورودی برنامه'!$D$4:$D$16,'ورودی برنامه'!$A$4:$A$16,A108,'ورودی برنامه'!$C$4:$C$16,C108)</f>
        <v>650</v>
      </c>
      <c r="R108" s="5">
        <f>SUMIFS('ورودی برنامه'!$E$4:$E$16,'ورودی برنامه'!$A$4:$A$16,A108,'ورودی برنامه'!$C$4:$C$16,C108)</f>
        <v>800</v>
      </c>
      <c r="S108" s="5">
        <f>ROUND(Q108*J108/K108*O108/100,10)</f>
        <v>975</v>
      </c>
      <c r="T108" s="5">
        <f>ROUND(R108*J108/K108*O108/100,10)</f>
        <v>1200</v>
      </c>
      <c r="U108" s="5" t="n">
        <v>1950</v>
      </c>
      <c r="V108" s="5" t="n">
        <v>2400</v>
      </c>
    </row>
    <row r="109" ht="20" customHeight="1">
      <c r="A109" s="10" t="n">
        <v>1200932</v>
      </c>
      <c r="B109" s="11" t="inlineStr">
        <is>
          <t>جلوآمپر کنترل ماشینی شده ICN SOREN یکسان سازی</t>
        </is>
      </c>
      <c r="C109" s="11" t="inlineStr">
        <is>
          <t>12009320110</t>
        </is>
      </c>
      <c r="D109" s="11" t="inlineStr">
        <is>
          <t>1405/06/23</t>
        </is>
      </c>
      <c r="E109" s="13" t="n"/>
      <c r="F109" s="10" t="n">
        <v>10512</v>
      </c>
      <c r="G109" s="10" t="n">
        <v>1110200</v>
      </c>
      <c r="H109" s="11" t="inlineStr">
        <is>
          <t>Resistor 10,1%,1/4W,1206</t>
        </is>
      </c>
      <c r="I109" s="11" t="inlineStr">
        <is>
          <t>عدد</t>
        </is>
      </c>
      <c r="J109" s="10" t="n">
        <v>1</v>
      </c>
      <c r="K109" s="10" t="n">
        <v>1</v>
      </c>
      <c r="L109" s="11" t="inlineStr">
        <is>
          <t>-</t>
        </is>
      </c>
      <c r="M109" s="13" t="n"/>
      <c r="N109" s="13" t="n"/>
      <c r="O109" s="10" t="n">
        <v>100</v>
      </c>
      <c r="P109" s="11" t="inlineStr">
        <is>
          <t>مصرف مستقیم</t>
        </is>
      </c>
      <c r="Q109" s="10">
        <f>SUMIFS('ورودی برنامه'!$D$4:$D$16,'ورودی برنامه'!$A$4:$A$16,A109,'ورودی برنامه'!$C$4:$C$16,C109)</f>
        <v>650</v>
      </c>
      <c r="R109" s="10">
        <f>SUMIFS('ورودی برنامه'!$E$4:$E$16,'ورودی برنامه'!$A$4:$A$16,A109,'ورودی برنامه'!$C$4:$C$16,C109)</f>
        <v>800</v>
      </c>
      <c r="S109" s="10">
        <f>ROUND(Q109*J109/K109*O109/100,10)</f>
        <v>650</v>
      </c>
      <c r="T109" s="10">
        <f>ROUND(R109*J109/K109*O109/100,10)</f>
        <v>800</v>
      </c>
      <c r="U109" s="10" t="n">
        <v>650</v>
      </c>
      <c r="V109" s="10" t="n">
        <v>800</v>
      </c>
    </row>
    <row r="110" ht="20" customHeight="1">
      <c r="A110" s="5" t="n">
        <v>1200932</v>
      </c>
      <c r="B110" s="6" t="inlineStr">
        <is>
          <t>جلوآمپر کنترل ماشینی شده ICN SOREN یکسان سازی</t>
        </is>
      </c>
      <c r="C110" s="6" t="inlineStr">
        <is>
          <t>12009320110</t>
        </is>
      </c>
      <c r="D110" s="6" t="inlineStr">
        <is>
          <t>1405/06/23</t>
        </is>
      </c>
      <c r="E110" s="9" t="n"/>
      <c r="F110" s="5" t="n">
        <v>10841</v>
      </c>
      <c r="G110" s="5" t="n">
        <v>1110226</v>
      </c>
      <c r="H110" s="6" t="inlineStr">
        <is>
          <t>Resistor 560,5%,1/4w</t>
        </is>
      </c>
      <c r="I110" s="6" t="inlineStr">
        <is>
          <t>عدد</t>
        </is>
      </c>
      <c r="J110" s="5" t="n">
        <v>5</v>
      </c>
      <c r="K110" s="5" t="n">
        <v>1</v>
      </c>
      <c r="L110" s="6" t="inlineStr">
        <is>
          <t>6</t>
        </is>
      </c>
      <c r="M110" s="5" t="n">
        <v>1</v>
      </c>
      <c r="N110" s="5" t="n">
        <v>50</v>
      </c>
      <c r="O110" s="5">
        <f>N110</f>
        <v>50</v>
      </c>
      <c r="P110" s="6" t="inlineStr">
        <is>
          <t>سهم درصد استفاده BOM</t>
        </is>
      </c>
      <c r="Q110" s="5">
        <f>SUMIFS('ورودی برنامه'!$D$4:$D$16,'ورودی برنامه'!$A$4:$A$16,A110,'ورودی برنامه'!$C$4:$C$16,C110)</f>
        <v>650</v>
      </c>
      <c r="R110" s="5">
        <f>SUMIFS('ورودی برنامه'!$E$4:$E$16,'ورودی برنامه'!$A$4:$A$16,A110,'ورودی برنامه'!$C$4:$C$16,C110)</f>
        <v>800</v>
      </c>
      <c r="S110" s="5">
        <f>ROUND(Q110*J110/K110*O110/100,10)</f>
        <v>1625</v>
      </c>
      <c r="T110" s="5">
        <f>ROUND(R110*J110/K110*O110/100,10)</f>
        <v>2000</v>
      </c>
      <c r="U110" s="5" t="n">
        <v>3250</v>
      </c>
      <c r="V110" s="5" t="n">
        <v>4000</v>
      </c>
    </row>
    <row r="111" ht="20" customHeight="1">
      <c r="A111" s="10" t="n">
        <v>1200932</v>
      </c>
      <c r="B111" s="11" t="inlineStr">
        <is>
          <t>جلوآمپر کنترل ماشینی شده ICN SOREN یکسان سازی</t>
        </is>
      </c>
      <c r="C111" s="11" t="inlineStr">
        <is>
          <t>12009320110</t>
        </is>
      </c>
      <c r="D111" s="11" t="inlineStr">
        <is>
          <t>1405/06/23</t>
        </is>
      </c>
      <c r="E111" s="13" t="n"/>
      <c r="F111" s="10" t="n">
        <v>11029</v>
      </c>
      <c r="G111" s="10" t="n">
        <v>1110232</v>
      </c>
      <c r="H111" s="11" t="inlineStr">
        <is>
          <t>Resistor 820,5%,1/4W</t>
        </is>
      </c>
      <c r="I111" s="11" t="inlineStr">
        <is>
          <t>عدد</t>
        </is>
      </c>
      <c r="J111" s="10" t="n">
        <v>5</v>
      </c>
      <c r="K111" s="10" t="n">
        <v>1</v>
      </c>
      <c r="L111" s="11" t="inlineStr">
        <is>
          <t>-</t>
        </is>
      </c>
      <c r="M111" s="13" t="n"/>
      <c r="N111" s="13" t="n"/>
      <c r="O111" s="10" t="n">
        <v>100</v>
      </c>
      <c r="P111" s="11" t="inlineStr">
        <is>
          <t>مصرف مستقیم</t>
        </is>
      </c>
      <c r="Q111" s="10">
        <f>SUMIFS('ورودی برنامه'!$D$4:$D$16,'ورودی برنامه'!$A$4:$A$16,A111,'ورودی برنامه'!$C$4:$C$16,C111)</f>
        <v>650</v>
      </c>
      <c r="R111" s="10">
        <f>SUMIFS('ورودی برنامه'!$E$4:$E$16,'ورودی برنامه'!$A$4:$A$16,A111,'ورودی برنامه'!$C$4:$C$16,C111)</f>
        <v>800</v>
      </c>
      <c r="S111" s="10">
        <f>ROUND(Q111*J111/K111*O111/100,10)</f>
        <v>3250</v>
      </c>
      <c r="T111" s="10">
        <f>ROUND(R111*J111/K111*O111/100,10)</f>
        <v>4000</v>
      </c>
      <c r="U111" s="10" t="n">
        <v>3250</v>
      </c>
      <c r="V111" s="10" t="n">
        <v>4000</v>
      </c>
    </row>
    <row r="112" ht="20" customHeight="1">
      <c r="A112" s="5" t="n">
        <v>1200932</v>
      </c>
      <c r="B112" s="6" t="inlineStr">
        <is>
          <t>جلوآمپر کنترل ماشینی شده ICN SOREN یکسان سازی</t>
        </is>
      </c>
      <c r="C112" s="6" t="inlineStr">
        <is>
          <t>12009320110</t>
        </is>
      </c>
      <c r="D112" s="6" t="inlineStr">
        <is>
          <t>1405/06/23</t>
        </is>
      </c>
      <c r="E112" s="9" t="n"/>
      <c r="F112" s="5" t="n">
        <v>11517</v>
      </c>
      <c r="G112" s="5" t="n">
        <v>1110294</v>
      </c>
      <c r="H112" s="6" t="inlineStr">
        <is>
          <t>Resistor 2.2K,5%,1/4W.</t>
        </is>
      </c>
      <c r="I112" s="6" t="inlineStr">
        <is>
          <t>عدد</t>
        </is>
      </c>
      <c r="J112" s="5" t="n">
        <v>1</v>
      </c>
      <c r="K112" s="5" t="n">
        <v>1</v>
      </c>
      <c r="L112" s="6" t="inlineStr">
        <is>
          <t>8</t>
        </is>
      </c>
      <c r="M112" s="5" t="n">
        <v>1</v>
      </c>
      <c r="N112" s="5" t="n">
        <v>50</v>
      </c>
      <c r="O112" s="5">
        <f>N112</f>
        <v>50</v>
      </c>
      <c r="P112" s="6" t="inlineStr">
        <is>
          <t>سهم درصد استفاده BOM</t>
        </is>
      </c>
      <c r="Q112" s="5">
        <f>SUMIFS('ورودی برنامه'!$D$4:$D$16,'ورودی برنامه'!$A$4:$A$16,A112,'ورودی برنامه'!$C$4:$C$16,C112)</f>
        <v>650</v>
      </c>
      <c r="R112" s="5">
        <f>SUMIFS('ورودی برنامه'!$E$4:$E$16,'ورودی برنامه'!$A$4:$A$16,A112,'ورودی برنامه'!$C$4:$C$16,C112)</f>
        <v>800</v>
      </c>
      <c r="S112" s="5">
        <f>ROUND(Q112*J112/K112*O112/100,10)</f>
        <v>325</v>
      </c>
      <c r="T112" s="5">
        <f>ROUND(R112*J112/K112*O112/100,10)</f>
        <v>400</v>
      </c>
      <c r="U112" s="5" t="n">
        <v>650</v>
      </c>
      <c r="V112" s="5" t="n">
        <v>800</v>
      </c>
    </row>
    <row r="113" ht="20" customHeight="1">
      <c r="A113" s="10" t="n">
        <v>1200932</v>
      </c>
      <c r="B113" s="11" t="inlineStr">
        <is>
          <t>جلوآمپر کنترل ماشینی شده ICN SOREN یکسان سازی</t>
        </is>
      </c>
      <c r="C113" s="11" t="inlineStr">
        <is>
          <t>12009320110</t>
        </is>
      </c>
      <c r="D113" s="11" t="inlineStr">
        <is>
          <t>1405/06/23</t>
        </is>
      </c>
      <c r="E113" s="13" t="n"/>
      <c r="F113" s="10" t="n">
        <v>12771</v>
      </c>
      <c r="G113" s="10" t="n">
        <v>1110600</v>
      </c>
      <c r="H113" s="11" t="inlineStr">
        <is>
          <t>Transistor BC817-40</t>
        </is>
      </c>
      <c r="I113" s="11" t="inlineStr">
        <is>
          <t>عدد</t>
        </is>
      </c>
      <c r="J113" s="10" t="n">
        <v>1</v>
      </c>
      <c r="K113" s="10" t="n">
        <v>1</v>
      </c>
      <c r="L113" s="11" t="inlineStr">
        <is>
          <t>-</t>
        </is>
      </c>
      <c r="M113" s="13" t="n"/>
      <c r="N113" s="13" t="n"/>
      <c r="O113" s="10" t="n">
        <v>100</v>
      </c>
      <c r="P113" s="11" t="inlineStr">
        <is>
          <t>مصرف مستقیم</t>
        </is>
      </c>
      <c r="Q113" s="10">
        <f>SUMIFS('ورودی برنامه'!$D$4:$D$16,'ورودی برنامه'!$A$4:$A$16,A113,'ورودی برنامه'!$C$4:$C$16,C113)</f>
        <v>650</v>
      </c>
      <c r="R113" s="10">
        <f>SUMIFS('ورودی برنامه'!$E$4:$E$16,'ورودی برنامه'!$A$4:$A$16,A113,'ورودی برنامه'!$C$4:$C$16,C113)</f>
        <v>800</v>
      </c>
      <c r="S113" s="10">
        <f>ROUND(Q113*J113/K113*O113/100,10)</f>
        <v>650</v>
      </c>
      <c r="T113" s="10">
        <f>ROUND(R113*J113/K113*O113/100,10)</f>
        <v>800</v>
      </c>
      <c r="U113" s="10" t="n">
        <v>650</v>
      </c>
      <c r="V113" s="10" t="n">
        <v>800</v>
      </c>
    </row>
    <row r="114" ht="20" customHeight="1">
      <c r="A114" s="5" t="n">
        <v>1200932</v>
      </c>
      <c r="B114" s="6" t="inlineStr">
        <is>
          <t>جلوآمپر کنترل ماشینی شده ICN SOREN یکسان سازی</t>
        </is>
      </c>
      <c r="C114" s="6" t="inlineStr">
        <is>
          <t>12009320110</t>
        </is>
      </c>
      <c r="D114" s="6" t="inlineStr">
        <is>
          <t>1405/06/23</t>
        </is>
      </c>
      <c r="E114" s="9" t="n"/>
      <c r="F114" s="5" t="n">
        <v>13202</v>
      </c>
      <c r="G114" s="5" t="n">
        <v>1110902</v>
      </c>
      <c r="H114" s="6" t="inlineStr">
        <is>
          <t>Diode 1N4004 SMT</t>
        </is>
      </c>
      <c r="I114" s="6" t="inlineStr">
        <is>
          <t>عدد</t>
        </is>
      </c>
      <c r="J114" s="5" t="n">
        <v>2</v>
      </c>
      <c r="K114" s="5" t="n">
        <v>1</v>
      </c>
      <c r="L114" s="6" t="inlineStr">
        <is>
          <t>1</t>
        </is>
      </c>
      <c r="M114" s="5" t="n">
        <v>2</v>
      </c>
      <c r="N114" s="5" t="n">
        <v>50</v>
      </c>
      <c r="O114" s="5">
        <f>N114</f>
        <v>50</v>
      </c>
      <c r="P114" s="6" t="inlineStr">
        <is>
          <t>سهم درصد استفاده BOM</t>
        </is>
      </c>
      <c r="Q114" s="5">
        <f>SUMIFS('ورودی برنامه'!$D$4:$D$16,'ورودی برنامه'!$A$4:$A$16,A114,'ورودی برنامه'!$C$4:$C$16,C114)</f>
        <v>650</v>
      </c>
      <c r="R114" s="5">
        <f>SUMIFS('ورودی برنامه'!$E$4:$E$16,'ورودی برنامه'!$A$4:$A$16,A114,'ورودی برنامه'!$C$4:$C$16,C114)</f>
        <v>800</v>
      </c>
      <c r="S114" s="5">
        <f>ROUND(Q114*J114/K114*O114/100,10)</f>
        <v>650</v>
      </c>
      <c r="T114" s="5">
        <f>ROUND(R114*J114/K114*O114/100,10)</f>
        <v>800</v>
      </c>
      <c r="U114" s="5" t="n">
        <v>0</v>
      </c>
      <c r="V114" s="5" t="n">
        <v>0</v>
      </c>
    </row>
    <row r="115" ht="20" customHeight="1">
      <c r="A115" s="10" t="n">
        <v>1200932</v>
      </c>
      <c r="B115" s="11" t="inlineStr">
        <is>
          <t>جلوآمپر کنترل ماشینی شده ICN SOREN یکسان سازی</t>
        </is>
      </c>
      <c r="C115" s="11" t="inlineStr">
        <is>
          <t>12009320110</t>
        </is>
      </c>
      <c r="D115" s="11" t="inlineStr">
        <is>
          <t>1405/06/23</t>
        </is>
      </c>
      <c r="E115" s="13" t="n"/>
      <c r="F115" s="10" t="n">
        <v>14746</v>
      </c>
      <c r="G115" s="10" t="n">
        <v>1110242</v>
      </c>
      <c r="H115" s="11" t="inlineStr">
        <is>
          <t>Resistor 680,1%,1/4W.</t>
        </is>
      </c>
      <c r="I115" s="11" t="inlineStr">
        <is>
          <t>عدد</t>
        </is>
      </c>
      <c r="J115" s="10" t="n">
        <v>14</v>
      </c>
      <c r="K115" s="10" t="n">
        <v>1</v>
      </c>
      <c r="L115" s="11" t="inlineStr">
        <is>
          <t>9</t>
        </is>
      </c>
      <c r="M115" s="10" t="n">
        <v>2</v>
      </c>
      <c r="N115" s="10" t="n">
        <v>50</v>
      </c>
      <c r="O115" s="10">
        <f>N115</f>
        <v>50</v>
      </c>
      <c r="P115" s="11" t="inlineStr">
        <is>
          <t>سهم درصد استفاده BOM</t>
        </is>
      </c>
      <c r="Q115" s="10">
        <f>SUMIFS('ورودی برنامه'!$D$4:$D$16,'ورودی برنامه'!$A$4:$A$16,A115,'ورودی برنامه'!$C$4:$C$16,C115)</f>
        <v>650</v>
      </c>
      <c r="R115" s="10">
        <f>SUMIFS('ورودی برنامه'!$E$4:$E$16,'ورودی برنامه'!$A$4:$A$16,A115,'ورودی برنامه'!$C$4:$C$16,C115)</f>
        <v>800</v>
      </c>
      <c r="S115" s="10">
        <f>ROUND(Q115*J115/K115*O115/100,10)</f>
        <v>4550</v>
      </c>
      <c r="T115" s="10">
        <f>ROUND(R115*J115/K115*O115/100,10)</f>
        <v>5600</v>
      </c>
      <c r="U115" s="10" t="n">
        <v>0</v>
      </c>
      <c r="V115" s="10" t="n">
        <v>0</v>
      </c>
    </row>
    <row r="116" ht="20" customHeight="1">
      <c r="A116" s="5" t="n">
        <v>1200932</v>
      </c>
      <c r="B116" s="6" t="inlineStr">
        <is>
          <t>جلوآمپر کنترل ماشینی شده ICN SOREN یکسان سازی</t>
        </is>
      </c>
      <c r="C116" s="6" t="inlineStr">
        <is>
          <t>12009320110</t>
        </is>
      </c>
      <c r="D116" s="6" t="inlineStr">
        <is>
          <t>1405/06/23</t>
        </is>
      </c>
      <c r="E116" s="9" t="n"/>
      <c r="F116" s="5" t="n">
        <v>15100</v>
      </c>
      <c r="G116" s="5" t="n">
        <v>1110247</v>
      </c>
      <c r="H116" s="6" t="inlineStr">
        <is>
          <t>Resistor 560,1%,1/4w</t>
        </is>
      </c>
      <c r="I116" s="6" t="inlineStr">
        <is>
          <t>عدد</t>
        </is>
      </c>
      <c r="J116" s="5" t="n">
        <v>5</v>
      </c>
      <c r="K116" s="5" t="n">
        <v>1</v>
      </c>
      <c r="L116" s="6" t="inlineStr">
        <is>
          <t>6</t>
        </is>
      </c>
      <c r="M116" s="5" t="n">
        <v>2</v>
      </c>
      <c r="N116" s="5" t="n">
        <v>50</v>
      </c>
      <c r="O116" s="5">
        <f>N116</f>
        <v>50</v>
      </c>
      <c r="P116" s="6" t="inlineStr">
        <is>
          <t>سهم درصد استفاده BOM</t>
        </is>
      </c>
      <c r="Q116" s="5">
        <f>SUMIFS('ورودی برنامه'!$D$4:$D$16,'ورودی برنامه'!$A$4:$A$16,A116,'ورودی برنامه'!$C$4:$C$16,C116)</f>
        <v>650</v>
      </c>
      <c r="R116" s="5">
        <f>SUMIFS('ورودی برنامه'!$E$4:$E$16,'ورودی برنامه'!$A$4:$A$16,A116,'ورودی برنامه'!$C$4:$C$16,C116)</f>
        <v>800</v>
      </c>
      <c r="S116" s="5">
        <f>ROUND(Q116*J116/K116*O116/100,10)</f>
        <v>1625</v>
      </c>
      <c r="T116" s="5">
        <f>ROUND(R116*J116/K116*O116/100,10)</f>
        <v>2000</v>
      </c>
      <c r="U116" s="5" t="n">
        <v>0</v>
      </c>
      <c r="V116" s="5" t="n">
        <v>0</v>
      </c>
    </row>
    <row r="117" ht="20" customHeight="1">
      <c r="A117" s="10" t="n">
        <v>1200932</v>
      </c>
      <c r="B117" s="11" t="inlineStr">
        <is>
          <t>جلوآمپر کنترل ماشینی شده ICN SOREN یکسان سازی</t>
        </is>
      </c>
      <c r="C117" s="11" t="inlineStr">
        <is>
          <t>12009320110</t>
        </is>
      </c>
      <c r="D117" s="11" t="inlineStr">
        <is>
          <t>1405/06/23</t>
        </is>
      </c>
      <c r="E117" s="13" t="n"/>
      <c r="F117" s="10" t="n">
        <v>15336</v>
      </c>
      <c r="G117" s="10" t="n">
        <v>1110401</v>
      </c>
      <c r="H117" s="11" t="inlineStr">
        <is>
          <t>IC ULQ2003D1013TRY</t>
        </is>
      </c>
      <c r="I117" s="11" t="inlineStr">
        <is>
          <t>عدد</t>
        </is>
      </c>
      <c r="J117" s="10" t="n">
        <v>4</v>
      </c>
      <c r="K117" s="10" t="n">
        <v>1</v>
      </c>
      <c r="L117" s="11" t="inlineStr">
        <is>
          <t>-</t>
        </is>
      </c>
      <c r="M117" s="13" t="n"/>
      <c r="N117" s="13" t="n"/>
      <c r="O117" s="10" t="n">
        <v>100</v>
      </c>
      <c r="P117" s="11" t="inlineStr">
        <is>
          <t>مصرف مستقیم</t>
        </is>
      </c>
      <c r="Q117" s="10">
        <f>SUMIFS('ورودی برنامه'!$D$4:$D$16,'ورودی برنامه'!$A$4:$A$16,A117,'ورودی برنامه'!$C$4:$C$16,C117)</f>
        <v>650</v>
      </c>
      <c r="R117" s="10">
        <f>SUMIFS('ورودی برنامه'!$E$4:$E$16,'ورودی برنامه'!$A$4:$A$16,A117,'ورودی برنامه'!$C$4:$C$16,C117)</f>
        <v>800</v>
      </c>
      <c r="S117" s="10">
        <f>ROUND(Q117*J117/K117*O117/100,10)</f>
        <v>2600</v>
      </c>
      <c r="T117" s="10">
        <f>ROUND(R117*J117/K117*O117/100,10)</f>
        <v>3200</v>
      </c>
      <c r="U117" s="10" t="n">
        <v>2600</v>
      </c>
      <c r="V117" s="10" t="n">
        <v>3200</v>
      </c>
    </row>
    <row r="118" ht="20" customHeight="1">
      <c r="A118" s="5" t="n">
        <v>1200932</v>
      </c>
      <c r="B118" s="6" t="inlineStr">
        <is>
          <t>جلوآمپر کنترل ماشینی شده ICN SOREN یکسان سازی</t>
        </is>
      </c>
      <c r="C118" s="6" t="inlineStr">
        <is>
          <t>12009320110</t>
        </is>
      </c>
      <c r="D118" s="6" t="inlineStr">
        <is>
          <t>1405/06/23</t>
        </is>
      </c>
      <c r="E118" s="9" t="n"/>
      <c r="F118" s="5" t="n">
        <v>15830</v>
      </c>
      <c r="G118" s="5" t="n">
        <v>1110337</v>
      </c>
      <c r="H118" s="6" t="inlineStr">
        <is>
          <t>Resistor 22K,5%,1/12W</t>
        </is>
      </c>
      <c r="I118" s="6" t="inlineStr">
        <is>
          <t>عدد</t>
        </is>
      </c>
      <c r="J118" s="5" t="n">
        <v>1</v>
      </c>
      <c r="K118" s="5" t="n">
        <v>1</v>
      </c>
      <c r="L118" s="6" t="inlineStr">
        <is>
          <t>11</t>
        </is>
      </c>
      <c r="M118" s="5" t="n">
        <v>1</v>
      </c>
      <c r="N118" s="5" t="n">
        <v>50</v>
      </c>
      <c r="O118" s="5">
        <f>N118</f>
        <v>50</v>
      </c>
      <c r="P118" s="6" t="inlineStr">
        <is>
          <t>سهم درصد استفاده BOM</t>
        </is>
      </c>
      <c r="Q118" s="5">
        <f>SUMIFS('ورودی برنامه'!$D$4:$D$16,'ورودی برنامه'!$A$4:$A$16,A118,'ورودی برنامه'!$C$4:$C$16,C118)</f>
        <v>650</v>
      </c>
      <c r="R118" s="5">
        <f>SUMIFS('ورودی برنامه'!$E$4:$E$16,'ورودی برنامه'!$A$4:$A$16,A118,'ورودی برنامه'!$C$4:$C$16,C118)</f>
        <v>800</v>
      </c>
      <c r="S118" s="5">
        <f>ROUND(Q118*J118/K118*O118/100,10)</f>
        <v>325</v>
      </c>
      <c r="T118" s="5">
        <f>ROUND(R118*J118/K118*O118/100,10)</f>
        <v>400</v>
      </c>
      <c r="U118" s="5" t="n">
        <v>650</v>
      </c>
      <c r="V118" s="5" t="n">
        <v>800</v>
      </c>
    </row>
    <row r="119" ht="20" customHeight="1">
      <c r="A119" s="10" t="n">
        <v>1200932</v>
      </c>
      <c r="B119" s="11" t="inlineStr">
        <is>
          <t>جلوآمپر کنترل ماشینی شده ICN SOREN یکسان سازی</t>
        </is>
      </c>
      <c r="C119" s="11" t="inlineStr">
        <is>
          <t>12009320110</t>
        </is>
      </c>
      <c r="D119" s="11" t="inlineStr">
        <is>
          <t>1405/06/23</t>
        </is>
      </c>
      <c r="E119" s="13" t="n"/>
      <c r="F119" s="10" t="n">
        <v>15959</v>
      </c>
      <c r="G119" s="10" t="n">
        <v>1110861</v>
      </c>
      <c r="H119" s="11" t="inlineStr">
        <is>
          <t>LED White</t>
        </is>
      </c>
      <c r="I119" s="11" t="inlineStr">
        <is>
          <t>عدد</t>
        </is>
      </c>
      <c r="J119" s="10" t="n">
        <v>10</v>
      </c>
      <c r="K119" s="10" t="n">
        <v>1</v>
      </c>
      <c r="L119" s="11" t="inlineStr">
        <is>
          <t>3</t>
        </is>
      </c>
      <c r="M119" s="10" t="n">
        <v>1</v>
      </c>
      <c r="N119" s="10" t="n">
        <v>25</v>
      </c>
      <c r="O119" s="10">
        <f>N119</f>
        <v>25</v>
      </c>
      <c r="P119" s="11" t="inlineStr">
        <is>
          <t>سهم درصد استفاده BOM</t>
        </is>
      </c>
      <c r="Q119" s="10">
        <f>SUMIFS('ورودی برنامه'!$D$4:$D$16,'ورودی برنامه'!$A$4:$A$16,A119,'ورودی برنامه'!$C$4:$C$16,C119)</f>
        <v>650</v>
      </c>
      <c r="R119" s="10">
        <f>SUMIFS('ورودی برنامه'!$E$4:$E$16,'ورودی برنامه'!$A$4:$A$16,A119,'ورودی برنامه'!$C$4:$C$16,C119)</f>
        <v>800</v>
      </c>
      <c r="S119" s="10">
        <f>ROUND(Q119*J119/K119*O119/100,10)</f>
        <v>1625</v>
      </c>
      <c r="T119" s="10">
        <f>ROUND(R119*J119/K119*O119/100,10)</f>
        <v>2000</v>
      </c>
      <c r="U119" s="10" t="n">
        <v>6500</v>
      </c>
      <c r="V119" s="10" t="n">
        <v>8000</v>
      </c>
    </row>
    <row r="120" ht="20" customHeight="1">
      <c r="A120" s="5" t="n">
        <v>1200932</v>
      </c>
      <c r="B120" s="6" t="inlineStr">
        <is>
          <t>جلوآمپر کنترل ماشینی شده ICN SOREN یکسان سازی</t>
        </is>
      </c>
      <c r="C120" s="6" t="inlineStr">
        <is>
          <t>12009320110</t>
        </is>
      </c>
      <c r="D120" s="6" t="inlineStr">
        <is>
          <t>1405/06/23</t>
        </is>
      </c>
      <c r="E120" s="9" t="n"/>
      <c r="F120" s="5" t="n">
        <v>17295</v>
      </c>
      <c r="G120" s="5" t="n">
        <v>1110630</v>
      </c>
      <c r="H120" s="6" t="inlineStr">
        <is>
          <t>ESD Protection</t>
        </is>
      </c>
      <c r="I120" s="6" t="inlineStr">
        <is>
          <t>عدد</t>
        </is>
      </c>
      <c r="J120" s="5" t="n">
        <v>1</v>
      </c>
      <c r="K120" s="5" t="n">
        <v>1</v>
      </c>
      <c r="L120" s="6" t="inlineStr">
        <is>
          <t>-</t>
        </is>
      </c>
      <c r="M120" s="9" t="n"/>
      <c r="N120" s="9" t="n"/>
      <c r="O120" s="5" t="n">
        <v>100</v>
      </c>
      <c r="P120" s="6" t="inlineStr">
        <is>
          <t>مصرف مستقیم</t>
        </is>
      </c>
      <c r="Q120" s="5">
        <f>SUMIFS('ورودی برنامه'!$D$4:$D$16,'ورودی برنامه'!$A$4:$A$16,A120,'ورودی برنامه'!$C$4:$C$16,C120)</f>
        <v>650</v>
      </c>
      <c r="R120" s="5">
        <f>SUMIFS('ورودی برنامه'!$E$4:$E$16,'ورودی برنامه'!$A$4:$A$16,A120,'ورودی برنامه'!$C$4:$C$16,C120)</f>
        <v>800</v>
      </c>
      <c r="S120" s="5">
        <f>ROUND(Q120*J120/K120*O120/100,10)</f>
        <v>650</v>
      </c>
      <c r="T120" s="5">
        <f>ROUND(R120*J120/K120*O120/100,10)</f>
        <v>800</v>
      </c>
      <c r="U120" s="5" t="n">
        <v>650</v>
      </c>
      <c r="V120" s="5" t="n">
        <v>800</v>
      </c>
    </row>
    <row r="121" ht="20" customHeight="1">
      <c r="A121" s="10" t="n">
        <v>1200932</v>
      </c>
      <c r="B121" s="11" t="inlineStr">
        <is>
          <t>جلوآمپر کنترل ماشینی شده ICN SOREN یکسان سازی</t>
        </is>
      </c>
      <c r="C121" s="11" t="inlineStr">
        <is>
          <t>12009320110</t>
        </is>
      </c>
      <c r="D121" s="11" t="inlineStr">
        <is>
          <t>1405/06/23</t>
        </is>
      </c>
      <c r="E121" s="13" t="n"/>
      <c r="F121" s="10" t="n">
        <v>17305</v>
      </c>
      <c r="G121" s="10" t="n">
        <v>1110610</v>
      </c>
      <c r="H121" s="11" t="inlineStr">
        <is>
          <t>Transistor BCX56</t>
        </is>
      </c>
      <c r="I121" s="11" t="inlineStr">
        <is>
          <t>عدد</t>
        </is>
      </c>
      <c r="J121" s="10" t="n">
        <v>1</v>
      </c>
      <c r="K121" s="10" t="n">
        <v>1</v>
      </c>
      <c r="L121" s="11" t="inlineStr">
        <is>
          <t>-</t>
        </is>
      </c>
      <c r="M121" s="13" t="n"/>
      <c r="N121" s="13" t="n"/>
      <c r="O121" s="10" t="n">
        <v>100</v>
      </c>
      <c r="P121" s="11" t="inlineStr">
        <is>
          <t>مصرف مستقیم</t>
        </is>
      </c>
      <c r="Q121" s="10">
        <f>SUMIFS('ورودی برنامه'!$D$4:$D$16,'ورودی برنامه'!$A$4:$A$16,A121,'ورودی برنامه'!$C$4:$C$16,C121)</f>
        <v>650</v>
      </c>
      <c r="R121" s="10">
        <f>SUMIFS('ورودی برنامه'!$E$4:$E$16,'ورودی برنامه'!$A$4:$A$16,A121,'ورودی برنامه'!$C$4:$C$16,C121)</f>
        <v>800</v>
      </c>
      <c r="S121" s="10">
        <f>ROUND(Q121*J121/K121*O121/100,10)</f>
        <v>650</v>
      </c>
      <c r="T121" s="10">
        <f>ROUND(R121*J121/K121*O121/100,10)</f>
        <v>800</v>
      </c>
      <c r="U121" s="10" t="n">
        <v>650</v>
      </c>
      <c r="V121" s="10" t="n">
        <v>800</v>
      </c>
    </row>
    <row r="122" ht="20" customHeight="1">
      <c r="A122" s="5" t="n">
        <v>1200932</v>
      </c>
      <c r="B122" s="6" t="inlineStr">
        <is>
          <t>جلوآمپر کنترل ماشینی شده ICN SOREN یکسان سازی</t>
        </is>
      </c>
      <c r="C122" s="6" t="inlineStr">
        <is>
          <t>12009320110</t>
        </is>
      </c>
      <c r="D122" s="6" t="inlineStr">
        <is>
          <t>1405/06/23</t>
        </is>
      </c>
      <c r="E122" s="9" t="n"/>
      <c r="F122" s="5" t="n">
        <v>17597</v>
      </c>
      <c r="G122" s="5" t="n">
        <v>1110456</v>
      </c>
      <c r="H122" s="6" t="inlineStr">
        <is>
          <t>IC CAN Transceiver TJA1055T</t>
        </is>
      </c>
      <c r="I122" s="6" t="inlineStr">
        <is>
          <t>عدد</t>
        </is>
      </c>
      <c r="J122" s="5" t="n">
        <v>1</v>
      </c>
      <c r="K122" s="5" t="n">
        <v>1</v>
      </c>
      <c r="L122" s="6" t="inlineStr">
        <is>
          <t>-</t>
        </is>
      </c>
      <c r="M122" s="9" t="n"/>
      <c r="N122" s="9" t="n"/>
      <c r="O122" s="5" t="n">
        <v>100</v>
      </c>
      <c r="P122" s="6" t="inlineStr">
        <is>
          <t>مصرف مستقیم</t>
        </is>
      </c>
      <c r="Q122" s="5">
        <f>SUMIFS('ورودی برنامه'!$D$4:$D$16,'ورودی برنامه'!$A$4:$A$16,A122,'ورودی برنامه'!$C$4:$C$16,C122)</f>
        <v>650</v>
      </c>
      <c r="R122" s="5">
        <f>SUMIFS('ورودی برنامه'!$E$4:$E$16,'ورودی برنامه'!$A$4:$A$16,A122,'ورودی برنامه'!$C$4:$C$16,C122)</f>
        <v>800</v>
      </c>
      <c r="S122" s="5">
        <f>ROUND(Q122*J122/K122*O122/100,10)</f>
        <v>650</v>
      </c>
      <c r="T122" s="5">
        <f>ROUND(R122*J122/K122*O122/100,10)</f>
        <v>800</v>
      </c>
      <c r="U122" s="5" t="n">
        <v>650</v>
      </c>
      <c r="V122" s="5" t="n">
        <v>800</v>
      </c>
    </row>
    <row r="123" ht="20" customHeight="1">
      <c r="A123" s="10" t="n">
        <v>1200932</v>
      </c>
      <c r="B123" s="11" t="inlineStr">
        <is>
          <t>جلوآمپر کنترل ماشینی شده ICN SOREN یکسان سازی</t>
        </is>
      </c>
      <c r="C123" s="11" t="inlineStr">
        <is>
          <t>12009320110</t>
        </is>
      </c>
      <c r="D123" s="11" t="inlineStr">
        <is>
          <t>1405/06/23</t>
        </is>
      </c>
      <c r="E123" s="13" t="n"/>
      <c r="F123" s="10" t="n">
        <v>18115</v>
      </c>
      <c r="G123" s="10" t="n">
        <v>1110465</v>
      </c>
      <c r="H123" s="11" t="inlineStr">
        <is>
          <t>IC NCV4275ADT50RKG</t>
        </is>
      </c>
      <c r="I123" s="11" t="inlineStr">
        <is>
          <t>عدد</t>
        </is>
      </c>
      <c r="J123" s="10" t="n">
        <v>1</v>
      </c>
      <c r="K123" s="10" t="n">
        <v>1</v>
      </c>
      <c r="L123" s="11" t="inlineStr">
        <is>
          <t>17</t>
        </is>
      </c>
      <c r="M123" s="10" t="n">
        <v>2</v>
      </c>
      <c r="N123" s="10" t="n">
        <v>50</v>
      </c>
      <c r="O123" s="10">
        <f>N123</f>
        <v>50</v>
      </c>
      <c r="P123" s="11" t="inlineStr">
        <is>
          <t>سهم درصد استفاده BOM</t>
        </is>
      </c>
      <c r="Q123" s="10">
        <f>SUMIFS('ورودی برنامه'!$D$4:$D$16,'ورودی برنامه'!$A$4:$A$16,A123,'ورودی برنامه'!$C$4:$C$16,C123)</f>
        <v>650</v>
      </c>
      <c r="R123" s="10">
        <f>SUMIFS('ورودی برنامه'!$E$4:$E$16,'ورودی برنامه'!$A$4:$A$16,A123,'ورودی برنامه'!$C$4:$C$16,C123)</f>
        <v>800</v>
      </c>
      <c r="S123" s="10">
        <f>ROUND(Q123*J123/K123*O123/100,10)</f>
        <v>325</v>
      </c>
      <c r="T123" s="10">
        <f>ROUND(R123*J123/K123*O123/100,10)</f>
        <v>400</v>
      </c>
      <c r="U123" s="10" t="n">
        <v>0</v>
      </c>
      <c r="V123" s="10" t="n">
        <v>0</v>
      </c>
    </row>
    <row r="124" ht="20" customHeight="1">
      <c r="A124" s="5" t="n">
        <v>1200932</v>
      </c>
      <c r="B124" s="6" t="inlineStr">
        <is>
          <t>جلوآمپر کنترل ماشینی شده ICN SOREN یکسان سازی</t>
        </is>
      </c>
      <c r="C124" s="6" t="inlineStr">
        <is>
          <t>12009320110</t>
        </is>
      </c>
      <c r="D124" s="6" t="inlineStr">
        <is>
          <t>1405/06/23</t>
        </is>
      </c>
      <c r="E124" s="9" t="n"/>
      <c r="F124" s="5" t="n">
        <v>18529</v>
      </c>
      <c r="G124" s="5" t="n">
        <v>1110913</v>
      </c>
      <c r="H124" s="6" t="inlineStr">
        <is>
          <t>Diode BAV99LT1</t>
        </is>
      </c>
      <c r="I124" s="6" t="inlineStr">
        <is>
          <t>عدد</t>
        </is>
      </c>
      <c r="J124" s="5" t="n">
        <v>6</v>
      </c>
      <c r="K124" s="5" t="n">
        <v>1</v>
      </c>
      <c r="L124" s="6" t="inlineStr">
        <is>
          <t>-</t>
        </is>
      </c>
      <c r="M124" s="9" t="n"/>
      <c r="N124" s="9" t="n"/>
      <c r="O124" s="5" t="n">
        <v>100</v>
      </c>
      <c r="P124" s="6" t="inlineStr">
        <is>
          <t>مصرف مستقیم</t>
        </is>
      </c>
      <c r="Q124" s="5">
        <f>SUMIFS('ورودی برنامه'!$D$4:$D$16,'ورودی برنامه'!$A$4:$A$16,A124,'ورودی برنامه'!$C$4:$C$16,C124)</f>
        <v>650</v>
      </c>
      <c r="R124" s="5">
        <f>SUMIFS('ورودی برنامه'!$E$4:$E$16,'ورودی برنامه'!$A$4:$A$16,A124,'ورودی برنامه'!$C$4:$C$16,C124)</f>
        <v>800</v>
      </c>
      <c r="S124" s="5">
        <f>ROUND(Q124*J124/K124*O124/100,10)</f>
        <v>3900</v>
      </c>
      <c r="T124" s="5">
        <f>ROUND(R124*J124/K124*O124/100,10)</f>
        <v>4800</v>
      </c>
      <c r="U124" s="5" t="n">
        <v>3900</v>
      </c>
      <c r="V124" s="5" t="n">
        <v>4800</v>
      </c>
    </row>
    <row r="125" ht="20" customHeight="1">
      <c r="A125" s="10" t="n">
        <v>1200932</v>
      </c>
      <c r="B125" s="11" t="inlineStr">
        <is>
          <t>جلوآمپر کنترل ماشینی شده ICN SOREN یکسان سازی</t>
        </is>
      </c>
      <c r="C125" s="11" t="inlineStr">
        <is>
          <t>12009320110</t>
        </is>
      </c>
      <c r="D125" s="11" t="inlineStr">
        <is>
          <t>1405/06/23</t>
        </is>
      </c>
      <c r="E125" s="13" t="n"/>
      <c r="F125" s="10" t="n">
        <v>19042</v>
      </c>
      <c r="G125" s="10" t="n">
        <v>1111002</v>
      </c>
      <c r="H125" s="11" t="inlineStr">
        <is>
          <t>Regulator 5V LOW DROP VOLTAGE</t>
        </is>
      </c>
      <c r="I125" s="11" t="inlineStr">
        <is>
          <t>عدد</t>
        </is>
      </c>
      <c r="J125" s="10" t="n">
        <v>1</v>
      </c>
      <c r="K125" s="10" t="n">
        <v>1</v>
      </c>
      <c r="L125" s="11" t="inlineStr">
        <is>
          <t>17</t>
        </is>
      </c>
      <c r="M125" s="10" t="n">
        <v>1</v>
      </c>
      <c r="N125" s="10" t="n">
        <v>50</v>
      </c>
      <c r="O125" s="10">
        <f>N125</f>
        <v>50</v>
      </c>
      <c r="P125" s="11" t="inlineStr">
        <is>
          <t>سهم درصد استفاده BOM</t>
        </is>
      </c>
      <c r="Q125" s="10">
        <f>SUMIFS('ورودی برنامه'!$D$4:$D$16,'ورودی برنامه'!$A$4:$A$16,A125,'ورودی برنامه'!$C$4:$C$16,C125)</f>
        <v>650</v>
      </c>
      <c r="R125" s="10">
        <f>SUMIFS('ورودی برنامه'!$E$4:$E$16,'ورودی برنامه'!$A$4:$A$16,A125,'ورودی برنامه'!$C$4:$C$16,C125)</f>
        <v>800</v>
      </c>
      <c r="S125" s="10">
        <f>ROUND(Q125*J125/K125*O125/100,10)</f>
        <v>325</v>
      </c>
      <c r="T125" s="10">
        <f>ROUND(R125*J125/K125*O125/100,10)</f>
        <v>400</v>
      </c>
      <c r="U125" s="10" t="n">
        <v>650</v>
      </c>
      <c r="V125" s="10" t="n">
        <v>800</v>
      </c>
    </row>
    <row r="126" ht="20" customHeight="1">
      <c r="A126" s="5" t="n">
        <v>1200932</v>
      </c>
      <c r="B126" s="6" t="inlineStr">
        <is>
          <t>جلوآمپر کنترل ماشینی شده ICN SOREN یکسان سازی</t>
        </is>
      </c>
      <c r="C126" s="6" t="inlineStr">
        <is>
          <t>12009320110</t>
        </is>
      </c>
      <c r="D126" s="6" t="inlineStr">
        <is>
          <t>1405/06/23</t>
        </is>
      </c>
      <c r="E126" s="9" t="n"/>
      <c r="F126" s="5" t="n">
        <v>19325</v>
      </c>
      <c r="G126" s="5" t="n">
        <v>1110951</v>
      </c>
      <c r="H126" s="6" t="inlineStr">
        <is>
          <t>Diode Supressor SMBJ28CA-TR</t>
        </is>
      </c>
      <c r="I126" s="6" t="inlineStr">
        <is>
          <t>عدد</t>
        </is>
      </c>
      <c r="J126" s="5" t="n">
        <v>1</v>
      </c>
      <c r="K126" s="5" t="n">
        <v>1</v>
      </c>
      <c r="L126" s="6" t="inlineStr">
        <is>
          <t>-</t>
        </is>
      </c>
      <c r="M126" s="9" t="n"/>
      <c r="N126" s="9" t="n"/>
      <c r="O126" s="5" t="n">
        <v>100</v>
      </c>
      <c r="P126" s="6" t="inlineStr">
        <is>
          <t>مصرف مستقیم</t>
        </is>
      </c>
      <c r="Q126" s="5">
        <f>SUMIFS('ورودی برنامه'!$D$4:$D$16,'ورودی برنامه'!$A$4:$A$16,A126,'ورودی برنامه'!$C$4:$C$16,C126)</f>
        <v>650</v>
      </c>
      <c r="R126" s="5">
        <f>SUMIFS('ورودی برنامه'!$E$4:$E$16,'ورودی برنامه'!$A$4:$A$16,A126,'ورودی برنامه'!$C$4:$C$16,C126)</f>
        <v>800</v>
      </c>
      <c r="S126" s="5">
        <f>ROUND(Q126*J126/K126*O126/100,10)</f>
        <v>650</v>
      </c>
      <c r="T126" s="5">
        <f>ROUND(R126*J126/K126*O126/100,10)</f>
        <v>800</v>
      </c>
      <c r="U126" s="5" t="n">
        <v>650</v>
      </c>
      <c r="V126" s="5" t="n">
        <v>800</v>
      </c>
    </row>
    <row r="127" ht="20" customHeight="1">
      <c r="A127" s="10" t="n">
        <v>1200932</v>
      </c>
      <c r="B127" s="11" t="inlineStr">
        <is>
          <t>جلوآمپر کنترل ماشینی شده ICN SOREN یکسان سازی</t>
        </is>
      </c>
      <c r="C127" s="11" t="inlineStr">
        <is>
          <t>12009320110</t>
        </is>
      </c>
      <c r="D127" s="11" t="inlineStr">
        <is>
          <t>1405/06/23</t>
        </is>
      </c>
      <c r="E127" s="13" t="n"/>
      <c r="F127" s="10" t="n">
        <v>21729</v>
      </c>
      <c r="G127" s="10" t="n">
        <v>1110087</v>
      </c>
      <c r="H127" s="11" t="inlineStr">
        <is>
          <t>Capacitor 10P, RF Type,NPO,50V,20%</t>
        </is>
      </c>
      <c r="I127" s="11" t="inlineStr">
        <is>
          <t>عدد</t>
        </is>
      </c>
      <c r="J127" s="10" t="n">
        <v>2</v>
      </c>
      <c r="K127" s="10" t="n">
        <v>1</v>
      </c>
      <c r="L127" s="11" t="inlineStr">
        <is>
          <t>-</t>
        </is>
      </c>
      <c r="M127" s="13" t="n"/>
      <c r="N127" s="13" t="n"/>
      <c r="O127" s="10" t="n">
        <v>100</v>
      </c>
      <c r="P127" s="11" t="inlineStr">
        <is>
          <t>مصرف مستقیم</t>
        </is>
      </c>
      <c r="Q127" s="10">
        <f>SUMIFS('ورودی برنامه'!$D$4:$D$16,'ورودی برنامه'!$A$4:$A$16,A127,'ورودی برنامه'!$C$4:$C$16,C127)</f>
        <v>650</v>
      </c>
      <c r="R127" s="10">
        <f>SUMIFS('ورودی برنامه'!$E$4:$E$16,'ورودی برنامه'!$A$4:$A$16,A127,'ورودی برنامه'!$C$4:$C$16,C127)</f>
        <v>800</v>
      </c>
      <c r="S127" s="10">
        <f>ROUND(Q127*J127/K127*O127/100,10)</f>
        <v>1300</v>
      </c>
      <c r="T127" s="10">
        <f>ROUND(R127*J127/K127*O127/100,10)</f>
        <v>1600</v>
      </c>
      <c r="U127" s="10" t="n">
        <v>1300</v>
      </c>
      <c r="V127" s="10" t="n">
        <v>1600</v>
      </c>
    </row>
    <row r="128" ht="20" customHeight="1">
      <c r="A128" s="5" t="n">
        <v>1200932</v>
      </c>
      <c r="B128" s="6" t="inlineStr">
        <is>
          <t>جلوآمپر کنترل ماشینی شده ICN SOREN یکسان سازی</t>
        </is>
      </c>
      <c r="C128" s="6" t="inlineStr">
        <is>
          <t>12009320110</t>
        </is>
      </c>
      <c r="D128" s="6" t="inlineStr">
        <is>
          <t>1405/06/23</t>
        </is>
      </c>
      <c r="E128" s="9" t="n"/>
      <c r="F128" s="5" t="n">
        <v>22028</v>
      </c>
      <c r="G128" s="5" t="n">
        <v>1111010</v>
      </c>
      <c r="H128" s="6" t="inlineStr">
        <is>
          <t>Crystal 8MHZ,10PPM,HC-49</t>
        </is>
      </c>
      <c r="I128" s="6" t="inlineStr">
        <is>
          <t>عدد</t>
        </is>
      </c>
      <c r="J128" s="5" t="n">
        <v>1</v>
      </c>
      <c r="K128" s="5" t="n">
        <v>1</v>
      </c>
      <c r="L128" s="6" t="inlineStr">
        <is>
          <t>-</t>
        </is>
      </c>
      <c r="M128" s="9" t="n"/>
      <c r="N128" s="9" t="n"/>
      <c r="O128" s="5" t="n">
        <v>100</v>
      </c>
      <c r="P128" s="6" t="inlineStr">
        <is>
          <t>مصرف مستقیم</t>
        </is>
      </c>
      <c r="Q128" s="5">
        <f>SUMIFS('ورودی برنامه'!$D$4:$D$16,'ورودی برنامه'!$A$4:$A$16,A128,'ورودی برنامه'!$C$4:$C$16,C128)</f>
        <v>650</v>
      </c>
      <c r="R128" s="5">
        <f>SUMIFS('ورودی برنامه'!$E$4:$E$16,'ورودی برنامه'!$A$4:$A$16,A128,'ورودی برنامه'!$C$4:$C$16,C128)</f>
        <v>800</v>
      </c>
      <c r="S128" s="5">
        <f>ROUND(Q128*J128/K128*O128/100,10)</f>
        <v>650</v>
      </c>
      <c r="T128" s="5">
        <f>ROUND(R128*J128/K128*O128/100,10)</f>
        <v>800</v>
      </c>
      <c r="U128" s="5" t="n">
        <v>650</v>
      </c>
      <c r="V128" s="5" t="n">
        <v>800</v>
      </c>
    </row>
    <row r="129" ht="20" customHeight="1">
      <c r="A129" s="10" t="n">
        <v>1200932</v>
      </c>
      <c r="B129" s="11" t="inlineStr">
        <is>
          <t>جلوآمپر کنترل ماشینی شده ICN SOREN یکسان سازی</t>
        </is>
      </c>
      <c r="C129" s="11" t="inlineStr">
        <is>
          <t>12009320110</t>
        </is>
      </c>
      <c r="D129" s="11" t="inlineStr">
        <is>
          <t>1405/06/23</t>
        </is>
      </c>
      <c r="E129" s="13" t="n"/>
      <c r="F129" s="10" t="n">
        <v>22373</v>
      </c>
      <c r="G129" s="10" t="n">
        <v>1110376</v>
      </c>
      <c r="H129" s="11" t="inlineStr">
        <is>
          <t>Resistor 1K,5%,1/4 W</t>
        </is>
      </c>
      <c r="I129" s="11" t="inlineStr">
        <is>
          <t>عدد</t>
        </is>
      </c>
      <c r="J129" s="10" t="n">
        <v>9</v>
      </c>
      <c r="K129" s="10" t="n">
        <v>1</v>
      </c>
      <c r="L129" s="11" t="inlineStr">
        <is>
          <t>7</t>
        </is>
      </c>
      <c r="M129" s="10" t="n">
        <v>1</v>
      </c>
      <c r="N129" s="10" t="n">
        <v>50</v>
      </c>
      <c r="O129" s="10">
        <f>N129</f>
        <v>50</v>
      </c>
      <c r="P129" s="11" t="inlineStr">
        <is>
          <t>سهم درصد استفاده BOM</t>
        </is>
      </c>
      <c r="Q129" s="10">
        <f>SUMIFS('ورودی برنامه'!$D$4:$D$16,'ورودی برنامه'!$A$4:$A$16,A129,'ورودی برنامه'!$C$4:$C$16,C129)</f>
        <v>650</v>
      </c>
      <c r="R129" s="10">
        <f>SUMIFS('ورودی برنامه'!$E$4:$E$16,'ورودی برنامه'!$A$4:$A$16,A129,'ورودی برنامه'!$C$4:$C$16,C129)</f>
        <v>800</v>
      </c>
      <c r="S129" s="10">
        <f>ROUND(Q129*J129/K129*O129/100,10)</f>
        <v>2925</v>
      </c>
      <c r="T129" s="10">
        <f>ROUND(R129*J129/K129*O129/100,10)</f>
        <v>3600</v>
      </c>
      <c r="U129" s="10" t="n">
        <v>5850</v>
      </c>
      <c r="V129" s="10" t="n">
        <v>7200</v>
      </c>
    </row>
    <row r="130" ht="20" customHeight="1">
      <c r="A130" s="5" t="n">
        <v>1200932</v>
      </c>
      <c r="B130" s="6" t="inlineStr">
        <is>
          <t>جلوآمپر کنترل ماشینی شده ICN SOREN یکسان سازی</t>
        </is>
      </c>
      <c r="C130" s="6" t="inlineStr">
        <is>
          <t>12009320110</t>
        </is>
      </c>
      <c r="D130" s="6" t="inlineStr">
        <is>
          <t>1405/06/23</t>
        </is>
      </c>
      <c r="E130" s="9" t="n"/>
      <c r="F130" s="5" t="n">
        <v>22982</v>
      </c>
      <c r="G130" s="5" t="n">
        <v>1110476</v>
      </c>
      <c r="H130" s="6" t="inlineStr">
        <is>
          <t>IC Micro Controller RL78-D1A- R5F10DPJJFB</t>
        </is>
      </c>
      <c r="I130" s="6" t="inlineStr">
        <is>
          <t>عدد</t>
        </is>
      </c>
      <c r="J130" s="5" t="n">
        <v>1</v>
      </c>
      <c r="K130" s="5" t="n">
        <v>1</v>
      </c>
      <c r="L130" s="6" t="inlineStr">
        <is>
          <t>16</t>
        </is>
      </c>
      <c r="M130" s="5" t="n">
        <v>2</v>
      </c>
      <c r="N130" s="5" t="n">
        <v>50</v>
      </c>
      <c r="O130" s="5">
        <f>N130</f>
        <v>50</v>
      </c>
      <c r="P130" s="6" t="inlineStr">
        <is>
          <t>سهم درصد استفاده BOM</t>
        </is>
      </c>
      <c r="Q130" s="5">
        <f>SUMIFS('ورودی برنامه'!$D$4:$D$16,'ورودی برنامه'!$A$4:$A$16,A130,'ورودی برنامه'!$C$4:$C$16,C130)</f>
        <v>650</v>
      </c>
      <c r="R130" s="5">
        <f>SUMIFS('ورودی برنامه'!$E$4:$E$16,'ورودی برنامه'!$A$4:$A$16,A130,'ورودی برنامه'!$C$4:$C$16,C130)</f>
        <v>800</v>
      </c>
      <c r="S130" s="5">
        <f>ROUND(Q130*J130/K130*O130/100,10)</f>
        <v>325</v>
      </c>
      <c r="T130" s="5">
        <f>ROUND(R130*J130/K130*O130/100,10)</f>
        <v>400</v>
      </c>
      <c r="U130" s="5" t="n">
        <v>0</v>
      </c>
      <c r="V130" s="5" t="n">
        <v>0</v>
      </c>
    </row>
    <row r="131" ht="20" customHeight="1">
      <c r="A131" s="10" t="n">
        <v>1200932</v>
      </c>
      <c r="B131" s="11" t="inlineStr">
        <is>
          <t>جلوآمپر کنترل ماشینی شده ICN SOREN یکسان سازی</t>
        </is>
      </c>
      <c r="C131" s="11" t="inlineStr">
        <is>
          <t>12009320110</t>
        </is>
      </c>
      <c r="D131" s="11" t="inlineStr">
        <is>
          <t>1405/06/23</t>
        </is>
      </c>
      <c r="E131" s="13" t="n"/>
      <c r="F131" s="10" t="n">
        <v>23743</v>
      </c>
      <c r="G131" s="10" t="n">
        <v>1110377</v>
      </c>
      <c r="H131" s="11" t="inlineStr">
        <is>
          <t>Resistor 1.5K, 1%, 1/10W</t>
        </is>
      </c>
      <c r="I131" s="11" t="inlineStr">
        <is>
          <t>عدد</t>
        </is>
      </c>
      <c r="J131" s="10" t="n">
        <v>3</v>
      </c>
      <c r="K131" s="10" t="n">
        <v>1</v>
      </c>
      <c r="L131" s="11" t="inlineStr">
        <is>
          <t>10</t>
        </is>
      </c>
      <c r="M131" s="10" t="n">
        <v>2</v>
      </c>
      <c r="N131" s="10" t="n">
        <v>50</v>
      </c>
      <c r="O131" s="10">
        <f>N131</f>
        <v>50</v>
      </c>
      <c r="P131" s="11" t="inlineStr">
        <is>
          <t>سهم درصد استفاده BOM</t>
        </is>
      </c>
      <c r="Q131" s="10">
        <f>SUMIFS('ورودی برنامه'!$D$4:$D$16,'ورودی برنامه'!$A$4:$A$16,A131,'ورودی برنامه'!$C$4:$C$16,C131)</f>
        <v>650</v>
      </c>
      <c r="R131" s="10">
        <f>SUMIFS('ورودی برنامه'!$E$4:$E$16,'ورودی برنامه'!$A$4:$A$16,A131,'ورودی برنامه'!$C$4:$C$16,C131)</f>
        <v>800</v>
      </c>
      <c r="S131" s="10">
        <f>ROUND(Q131*J131/K131*O131/100,10)</f>
        <v>975</v>
      </c>
      <c r="T131" s="10">
        <f>ROUND(R131*J131/K131*O131/100,10)</f>
        <v>1200</v>
      </c>
      <c r="U131" s="10" t="n">
        <v>0</v>
      </c>
      <c r="V131" s="10" t="n">
        <v>0</v>
      </c>
    </row>
    <row r="132" ht="20" customHeight="1">
      <c r="A132" s="5" t="n">
        <v>1200932</v>
      </c>
      <c r="B132" s="6" t="inlineStr">
        <is>
          <t>جلوآمپر کنترل ماشینی شده ICN SOREN یکسان سازی</t>
        </is>
      </c>
      <c r="C132" s="6" t="inlineStr">
        <is>
          <t>12009320110</t>
        </is>
      </c>
      <c r="D132" s="6" t="inlineStr">
        <is>
          <t>1405/06/23</t>
        </is>
      </c>
      <c r="E132" s="9" t="n"/>
      <c r="F132" s="5" t="n">
        <v>24215</v>
      </c>
      <c r="G132" s="5" t="n">
        <v>1110095</v>
      </c>
      <c r="H132" s="6" t="inlineStr">
        <is>
          <t>Capacitor 100nF,X7R,50V,10%</t>
        </is>
      </c>
      <c r="I132" s="6" t="inlineStr">
        <is>
          <t>عدد</t>
        </is>
      </c>
      <c r="J132" s="5" t="n">
        <v>12</v>
      </c>
      <c r="K132" s="5" t="n">
        <v>1</v>
      </c>
      <c r="L132" s="6" t="inlineStr">
        <is>
          <t>-</t>
        </is>
      </c>
      <c r="M132" s="9" t="n"/>
      <c r="N132" s="9" t="n"/>
      <c r="O132" s="5" t="n">
        <v>100</v>
      </c>
      <c r="P132" s="6" t="inlineStr">
        <is>
          <t>مصرف مستقیم</t>
        </is>
      </c>
      <c r="Q132" s="5">
        <f>SUMIFS('ورودی برنامه'!$D$4:$D$16,'ورودی برنامه'!$A$4:$A$16,A132,'ورودی برنامه'!$C$4:$C$16,C132)</f>
        <v>650</v>
      </c>
      <c r="R132" s="5">
        <f>SUMIFS('ورودی برنامه'!$E$4:$E$16,'ورودی برنامه'!$A$4:$A$16,A132,'ورودی برنامه'!$C$4:$C$16,C132)</f>
        <v>800</v>
      </c>
      <c r="S132" s="5">
        <f>ROUND(Q132*J132/K132*O132/100,10)</f>
        <v>7800</v>
      </c>
      <c r="T132" s="5">
        <f>ROUND(R132*J132/K132*O132/100,10)</f>
        <v>9600</v>
      </c>
      <c r="U132" s="5" t="n">
        <v>7800</v>
      </c>
      <c r="V132" s="5" t="n">
        <v>9600</v>
      </c>
    </row>
    <row r="133" ht="20" customHeight="1">
      <c r="A133" s="10" t="n">
        <v>1200932</v>
      </c>
      <c r="B133" s="11" t="inlineStr">
        <is>
          <t>جلوآمپر کنترل ماشینی شده ICN SOREN یکسان سازی</t>
        </is>
      </c>
      <c r="C133" s="11" t="inlineStr">
        <is>
          <t>12009320110</t>
        </is>
      </c>
      <c r="D133" s="11" t="inlineStr">
        <is>
          <t>1405/06/23</t>
        </is>
      </c>
      <c r="E133" s="13" t="n"/>
      <c r="F133" s="10" t="n">
        <v>24508</v>
      </c>
      <c r="G133" s="10" t="n">
        <v>1110914</v>
      </c>
      <c r="H133" s="11" t="inlineStr">
        <is>
          <t>Diode BAV99WT1G</t>
        </is>
      </c>
      <c r="I133" s="11" t="inlineStr">
        <is>
          <t>عدد</t>
        </is>
      </c>
      <c r="J133" s="10" t="n">
        <v>1</v>
      </c>
      <c r="K133" s="10" t="n">
        <v>1</v>
      </c>
      <c r="L133" s="11" t="inlineStr">
        <is>
          <t>-</t>
        </is>
      </c>
      <c r="M133" s="13" t="n"/>
      <c r="N133" s="13" t="n"/>
      <c r="O133" s="10" t="n">
        <v>100</v>
      </c>
      <c r="P133" s="11" t="inlineStr">
        <is>
          <t>مصرف مستقیم</t>
        </is>
      </c>
      <c r="Q133" s="10">
        <f>SUMIFS('ورودی برنامه'!$D$4:$D$16,'ورودی برنامه'!$A$4:$A$16,A133,'ورودی برنامه'!$C$4:$C$16,C133)</f>
        <v>650</v>
      </c>
      <c r="R133" s="10">
        <f>SUMIFS('ورودی برنامه'!$E$4:$E$16,'ورودی برنامه'!$A$4:$A$16,A133,'ورودی برنامه'!$C$4:$C$16,C133)</f>
        <v>800</v>
      </c>
      <c r="S133" s="10">
        <f>ROUND(Q133*J133/K133*O133/100,10)</f>
        <v>650</v>
      </c>
      <c r="T133" s="10">
        <f>ROUND(R133*J133/K133*O133/100,10)</f>
        <v>800</v>
      </c>
      <c r="U133" s="10" t="n">
        <v>650</v>
      </c>
      <c r="V133" s="10" t="n">
        <v>800</v>
      </c>
    </row>
    <row r="134" ht="20" customHeight="1">
      <c r="A134" s="5" t="n">
        <v>1200932</v>
      </c>
      <c r="B134" s="6" t="inlineStr">
        <is>
          <t>جلوآمپر کنترل ماشینی شده ICN SOREN یکسان سازی</t>
        </is>
      </c>
      <c r="C134" s="6" t="inlineStr">
        <is>
          <t>12009320110</t>
        </is>
      </c>
      <c r="D134" s="6" t="inlineStr">
        <is>
          <t>1405/06/23</t>
        </is>
      </c>
      <c r="E134" s="9" t="n"/>
      <c r="F134" s="5" t="n">
        <v>25349</v>
      </c>
      <c r="G134" s="5" t="n">
        <v>1110105</v>
      </c>
      <c r="H134" s="6" t="inlineStr">
        <is>
          <t>Electrolit Capacitor 100uF,16V,20% 105</t>
        </is>
      </c>
      <c r="I134" s="6" t="inlineStr">
        <is>
          <t>عدد</t>
        </is>
      </c>
      <c r="J134" s="5" t="n">
        <v>1</v>
      </c>
      <c r="K134" s="5" t="n">
        <v>1</v>
      </c>
      <c r="L134" s="6" t="inlineStr">
        <is>
          <t>-</t>
        </is>
      </c>
      <c r="M134" s="9" t="n"/>
      <c r="N134" s="9" t="n"/>
      <c r="O134" s="5" t="n">
        <v>100</v>
      </c>
      <c r="P134" s="6" t="inlineStr">
        <is>
          <t>مصرف مستقیم</t>
        </is>
      </c>
      <c r="Q134" s="5">
        <f>SUMIFS('ورودی برنامه'!$D$4:$D$16,'ورودی برنامه'!$A$4:$A$16,A134,'ورودی برنامه'!$C$4:$C$16,C134)</f>
        <v>650</v>
      </c>
      <c r="R134" s="5">
        <f>SUMIFS('ورودی برنامه'!$E$4:$E$16,'ورودی برنامه'!$A$4:$A$16,A134,'ورودی برنامه'!$C$4:$C$16,C134)</f>
        <v>800</v>
      </c>
      <c r="S134" s="5">
        <f>ROUND(Q134*J134/K134*O134/100,10)</f>
        <v>650</v>
      </c>
      <c r="T134" s="5">
        <f>ROUND(R134*J134/K134*O134/100,10)</f>
        <v>800</v>
      </c>
      <c r="U134" s="5" t="n">
        <v>650</v>
      </c>
      <c r="V134" s="5" t="n">
        <v>800</v>
      </c>
    </row>
    <row r="135" ht="20" customHeight="1">
      <c r="A135" s="10" t="n">
        <v>1200932</v>
      </c>
      <c r="B135" s="11" t="inlineStr">
        <is>
          <t>جلوآمپر کنترل ماشینی شده ICN SOREN یکسان سازی</t>
        </is>
      </c>
      <c r="C135" s="11" t="inlineStr">
        <is>
          <t>12009320110</t>
        </is>
      </c>
      <c r="D135" s="11" t="inlineStr">
        <is>
          <t>1405/06/23</t>
        </is>
      </c>
      <c r="E135" s="13" t="n"/>
      <c r="F135" s="10" t="n">
        <v>25606</v>
      </c>
      <c r="G135" s="10" t="n">
        <v>1110107</v>
      </c>
      <c r="H135" s="11" t="inlineStr">
        <is>
          <t>Capacitor 470nF,X7R,50V,10%</t>
        </is>
      </c>
      <c r="I135" s="11" t="inlineStr">
        <is>
          <t>عدد</t>
        </is>
      </c>
      <c r="J135" s="10" t="n">
        <v>3</v>
      </c>
      <c r="K135" s="10" t="n">
        <v>1</v>
      </c>
      <c r="L135" s="11" t="inlineStr">
        <is>
          <t>-</t>
        </is>
      </c>
      <c r="M135" s="13" t="n"/>
      <c r="N135" s="13" t="n"/>
      <c r="O135" s="10" t="n">
        <v>100</v>
      </c>
      <c r="P135" s="11" t="inlineStr">
        <is>
          <t>مصرف مستقیم</t>
        </is>
      </c>
      <c r="Q135" s="10">
        <f>SUMIFS('ورودی برنامه'!$D$4:$D$16,'ورودی برنامه'!$A$4:$A$16,A135,'ورودی برنامه'!$C$4:$C$16,C135)</f>
        <v>650</v>
      </c>
      <c r="R135" s="10">
        <f>SUMIFS('ورودی برنامه'!$E$4:$E$16,'ورودی برنامه'!$A$4:$A$16,A135,'ورودی برنامه'!$C$4:$C$16,C135)</f>
        <v>800</v>
      </c>
      <c r="S135" s="10">
        <f>ROUND(Q135*J135/K135*O135/100,10)</f>
        <v>1950</v>
      </c>
      <c r="T135" s="10">
        <f>ROUND(R135*J135/K135*O135/100,10)</f>
        <v>2400</v>
      </c>
      <c r="U135" s="10" t="n">
        <v>1950</v>
      </c>
      <c r="V135" s="10" t="n">
        <v>2400</v>
      </c>
    </row>
    <row r="136" ht="20" customHeight="1">
      <c r="A136" s="5" t="n">
        <v>1200932</v>
      </c>
      <c r="B136" s="6" t="inlineStr">
        <is>
          <t>جلوآمپر کنترل ماشینی شده ICN SOREN یکسان سازی</t>
        </is>
      </c>
      <c r="C136" s="6" t="inlineStr">
        <is>
          <t>12009320110</t>
        </is>
      </c>
      <c r="D136" s="6" t="inlineStr">
        <is>
          <t>1405/06/23</t>
        </is>
      </c>
      <c r="E136" s="9" t="n"/>
      <c r="F136" s="5" t="n">
        <v>26576</v>
      </c>
      <c r="G136" s="5" t="n">
        <v>1110098</v>
      </c>
      <c r="H136" s="6" t="inlineStr">
        <is>
          <t>Capacitor 330uF,35V,20%,105C,D&lt;8,L&lt;20</t>
        </is>
      </c>
      <c r="I136" s="6" t="inlineStr">
        <is>
          <t>عدد</t>
        </is>
      </c>
      <c r="J136" s="5" t="n">
        <v>1</v>
      </c>
      <c r="K136" s="5" t="n">
        <v>1</v>
      </c>
      <c r="L136" s="6" t="inlineStr">
        <is>
          <t>-</t>
        </is>
      </c>
      <c r="M136" s="9" t="n"/>
      <c r="N136" s="9" t="n"/>
      <c r="O136" s="5" t="n">
        <v>100</v>
      </c>
      <c r="P136" s="6" t="inlineStr">
        <is>
          <t>مصرف مستقیم</t>
        </is>
      </c>
      <c r="Q136" s="5">
        <f>SUMIFS('ورودی برنامه'!$D$4:$D$16,'ورودی برنامه'!$A$4:$A$16,A136,'ورودی برنامه'!$C$4:$C$16,C136)</f>
        <v>650</v>
      </c>
      <c r="R136" s="5">
        <f>SUMIFS('ورودی برنامه'!$E$4:$E$16,'ورودی برنامه'!$A$4:$A$16,A136,'ورودی برنامه'!$C$4:$C$16,C136)</f>
        <v>800</v>
      </c>
      <c r="S136" s="5">
        <f>ROUND(Q136*J136/K136*O136/100,10)</f>
        <v>650</v>
      </c>
      <c r="T136" s="5">
        <f>ROUND(R136*J136/K136*O136/100,10)</f>
        <v>800</v>
      </c>
      <c r="U136" s="5" t="n">
        <v>650</v>
      </c>
      <c r="V136" s="5" t="n">
        <v>800</v>
      </c>
    </row>
    <row r="137" ht="20" customHeight="1">
      <c r="A137" s="10" t="n">
        <v>1200932</v>
      </c>
      <c r="B137" s="11" t="inlineStr">
        <is>
          <t>جلوآمپر کنترل ماشینی شده ICN SOREN یکسان سازی</t>
        </is>
      </c>
      <c r="C137" s="11" t="inlineStr">
        <is>
          <t>12009320110</t>
        </is>
      </c>
      <c r="D137" s="11" t="inlineStr">
        <is>
          <t>1405/06/23</t>
        </is>
      </c>
      <c r="E137" s="13" t="n"/>
      <c r="F137" s="10" t="n">
        <v>27798</v>
      </c>
      <c r="G137" s="10" t="n">
        <v>1110183</v>
      </c>
      <c r="H137" s="11" t="inlineStr">
        <is>
          <t>Resistor 10K,5%,1/10W 0603</t>
        </is>
      </c>
      <c r="I137" s="11" t="inlineStr">
        <is>
          <t>عدد</t>
        </is>
      </c>
      <c r="J137" s="10" t="n">
        <v>10</v>
      </c>
      <c r="K137" s="10" t="n">
        <v>1</v>
      </c>
      <c r="L137" s="11" t="inlineStr">
        <is>
          <t>-</t>
        </is>
      </c>
      <c r="M137" s="13" t="n"/>
      <c r="N137" s="13" t="n"/>
      <c r="O137" s="10" t="n">
        <v>100</v>
      </c>
      <c r="P137" s="11" t="inlineStr">
        <is>
          <t>مصرف مستقیم</t>
        </is>
      </c>
      <c r="Q137" s="10">
        <f>SUMIFS('ورودی برنامه'!$D$4:$D$16,'ورودی برنامه'!$A$4:$A$16,A137,'ورودی برنامه'!$C$4:$C$16,C137)</f>
        <v>650</v>
      </c>
      <c r="R137" s="10">
        <f>SUMIFS('ورودی برنامه'!$E$4:$E$16,'ورودی برنامه'!$A$4:$A$16,A137,'ورودی برنامه'!$C$4:$C$16,C137)</f>
        <v>800</v>
      </c>
      <c r="S137" s="10">
        <f>ROUND(Q137*J137/K137*O137/100,10)</f>
        <v>6500</v>
      </c>
      <c r="T137" s="10">
        <f>ROUND(R137*J137/K137*O137/100,10)</f>
        <v>8000</v>
      </c>
      <c r="U137" s="10" t="n">
        <v>6500</v>
      </c>
      <c r="V137" s="10" t="n">
        <v>8000</v>
      </c>
    </row>
    <row r="138" ht="20" customHeight="1">
      <c r="A138" s="5" t="n">
        <v>1200932</v>
      </c>
      <c r="B138" s="6" t="inlineStr">
        <is>
          <t>جلوآمپر کنترل ماشینی شده ICN SOREN یکسان سازی</t>
        </is>
      </c>
      <c r="C138" s="6" t="inlineStr">
        <is>
          <t>12009320110</t>
        </is>
      </c>
      <c r="D138" s="6" t="inlineStr">
        <is>
          <t>1405/06/23</t>
        </is>
      </c>
      <c r="E138" s="9" t="n"/>
      <c r="F138" s="5" t="n">
        <v>27822</v>
      </c>
      <c r="G138" s="5" t="n">
        <v>1110186</v>
      </c>
      <c r="H138" s="6" t="inlineStr">
        <is>
          <t>Resistor 47K,5%,1/10w</t>
        </is>
      </c>
      <c r="I138" s="6" t="inlineStr">
        <is>
          <t>عدد</t>
        </is>
      </c>
      <c r="J138" s="5" t="n">
        <v>1</v>
      </c>
      <c r="K138" s="5" t="n">
        <v>1</v>
      </c>
      <c r="L138" s="6" t="inlineStr">
        <is>
          <t>13</t>
        </is>
      </c>
      <c r="M138" s="5" t="n">
        <v>1</v>
      </c>
      <c r="N138" s="5" t="n">
        <v>50</v>
      </c>
      <c r="O138" s="5">
        <f>N138</f>
        <v>50</v>
      </c>
      <c r="P138" s="6" t="inlineStr">
        <is>
          <t>سهم درصد استفاده BOM</t>
        </is>
      </c>
      <c r="Q138" s="5">
        <f>SUMIFS('ورودی برنامه'!$D$4:$D$16,'ورودی برنامه'!$A$4:$A$16,A138,'ورودی برنامه'!$C$4:$C$16,C138)</f>
        <v>650</v>
      </c>
      <c r="R138" s="5">
        <f>SUMIFS('ورودی برنامه'!$E$4:$E$16,'ورودی برنامه'!$A$4:$A$16,A138,'ورودی برنامه'!$C$4:$C$16,C138)</f>
        <v>800</v>
      </c>
      <c r="S138" s="5">
        <f>ROUND(Q138*J138/K138*O138/100,10)</f>
        <v>325</v>
      </c>
      <c r="T138" s="5">
        <f>ROUND(R138*J138/K138*O138/100,10)</f>
        <v>400</v>
      </c>
      <c r="U138" s="5" t="n">
        <v>650</v>
      </c>
      <c r="V138" s="5" t="n">
        <v>800</v>
      </c>
    </row>
    <row r="139" ht="20" customHeight="1">
      <c r="A139" s="10" t="n">
        <v>1200932</v>
      </c>
      <c r="B139" s="11" t="inlineStr">
        <is>
          <t>جلوآمپر کنترل ماشینی شده ICN SOREN یکسان سازی</t>
        </is>
      </c>
      <c r="C139" s="11" t="inlineStr">
        <is>
          <t>12009320110</t>
        </is>
      </c>
      <c r="D139" s="11" t="inlineStr">
        <is>
          <t>1405/06/23</t>
        </is>
      </c>
      <c r="E139" s="13" t="n"/>
      <c r="F139" s="10" t="n">
        <v>28188</v>
      </c>
      <c r="G139" s="10" t="n">
        <v>1110488</v>
      </c>
      <c r="H139" s="11" t="inlineStr">
        <is>
          <t>IC Micro controller RL78 R5F10TPJJFB</t>
        </is>
      </c>
      <c r="I139" s="11" t="inlineStr">
        <is>
          <t>عدد</t>
        </is>
      </c>
      <c r="J139" s="10" t="n">
        <v>1</v>
      </c>
      <c r="K139" s="10" t="n">
        <v>1</v>
      </c>
      <c r="L139" s="11" t="inlineStr">
        <is>
          <t>16</t>
        </is>
      </c>
      <c r="M139" s="10" t="n">
        <v>1</v>
      </c>
      <c r="N139" s="10" t="n">
        <v>50</v>
      </c>
      <c r="O139" s="10">
        <f>N139</f>
        <v>50</v>
      </c>
      <c r="P139" s="11" t="inlineStr">
        <is>
          <t>سهم درصد استفاده BOM</t>
        </is>
      </c>
      <c r="Q139" s="10">
        <f>SUMIFS('ورودی برنامه'!$D$4:$D$16,'ورودی برنامه'!$A$4:$A$16,A139,'ورودی برنامه'!$C$4:$C$16,C139)</f>
        <v>650</v>
      </c>
      <c r="R139" s="10">
        <f>SUMIFS('ورودی برنامه'!$E$4:$E$16,'ورودی برنامه'!$A$4:$A$16,A139,'ورودی برنامه'!$C$4:$C$16,C139)</f>
        <v>800</v>
      </c>
      <c r="S139" s="10">
        <f>ROUND(Q139*J139/K139*O139/100,10)</f>
        <v>325</v>
      </c>
      <c r="T139" s="10">
        <f>ROUND(R139*J139/K139*O139/100,10)</f>
        <v>400</v>
      </c>
      <c r="U139" s="10" t="n">
        <v>650</v>
      </c>
      <c r="V139" s="10" t="n">
        <v>800</v>
      </c>
    </row>
    <row r="140" ht="20" customHeight="1">
      <c r="A140" s="5" t="n">
        <v>1200932</v>
      </c>
      <c r="B140" s="6" t="inlineStr">
        <is>
          <t>جلوآمپر کنترل ماشینی شده ICN SOREN یکسان سازی</t>
        </is>
      </c>
      <c r="C140" s="6" t="inlineStr">
        <is>
          <t>12009320110</t>
        </is>
      </c>
      <c r="D140" s="6" t="inlineStr">
        <is>
          <t>1405/06/23</t>
        </is>
      </c>
      <c r="E140" s="9" t="n"/>
      <c r="F140" s="5" t="n">
        <v>29890</v>
      </c>
      <c r="G140" s="5" t="n">
        <v>1110132</v>
      </c>
      <c r="H140" s="6" t="inlineStr">
        <is>
          <t>Capacitor 1nF,X7R,50V,10% (3003864</t>
        </is>
      </c>
      <c r="I140" s="6" t="inlineStr">
        <is>
          <t>عدد</t>
        </is>
      </c>
      <c r="J140" s="5" t="n">
        <v>2</v>
      </c>
      <c r="K140" s="5" t="n">
        <v>1</v>
      </c>
      <c r="L140" s="6" t="inlineStr">
        <is>
          <t>-</t>
        </is>
      </c>
      <c r="M140" s="9" t="n"/>
      <c r="N140" s="9" t="n"/>
      <c r="O140" s="5" t="n">
        <v>100</v>
      </c>
      <c r="P140" s="6" t="inlineStr">
        <is>
          <t>مصرف مستقیم</t>
        </is>
      </c>
      <c r="Q140" s="5">
        <f>SUMIFS('ورودی برنامه'!$D$4:$D$16,'ورودی برنامه'!$A$4:$A$16,A140,'ورودی برنامه'!$C$4:$C$16,C140)</f>
        <v>650</v>
      </c>
      <c r="R140" s="5">
        <f>SUMIFS('ورودی برنامه'!$E$4:$E$16,'ورودی برنامه'!$A$4:$A$16,A140,'ورودی برنامه'!$C$4:$C$16,C140)</f>
        <v>800</v>
      </c>
      <c r="S140" s="5">
        <f>ROUND(Q140*J140/K140*O140/100,10)</f>
        <v>1300</v>
      </c>
      <c r="T140" s="5">
        <f>ROUND(R140*J140/K140*O140/100,10)</f>
        <v>1600</v>
      </c>
      <c r="U140" s="5" t="n">
        <v>1300</v>
      </c>
      <c r="V140" s="5" t="n">
        <v>1600</v>
      </c>
    </row>
    <row r="141" ht="20" customHeight="1">
      <c r="A141" s="10" t="n">
        <v>1200932</v>
      </c>
      <c r="B141" s="11" t="inlineStr">
        <is>
          <t>جلوآمپر کنترل ماشینی شده ICN SOREN یکسان سازی</t>
        </is>
      </c>
      <c r="C141" s="11" t="inlineStr">
        <is>
          <t>12009320110</t>
        </is>
      </c>
      <c r="D141" s="11" t="inlineStr">
        <is>
          <t>1405/06/23</t>
        </is>
      </c>
      <c r="E141" s="13" t="n"/>
      <c r="F141" s="10" t="n">
        <v>30039</v>
      </c>
      <c r="G141" s="10" t="n">
        <v>1110135</v>
      </c>
      <c r="H141" s="11" t="inlineStr">
        <is>
          <t>Capacitor 1uF,16V,10%,X7R(3008118</t>
        </is>
      </c>
      <c r="I141" s="11" t="inlineStr">
        <is>
          <t>عدد</t>
        </is>
      </c>
      <c r="J141" s="10" t="n">
        <v>3</v>
      </c>
      <c r="K141" s="10" t="n">
        <v>1</v>
      </c>
      <c r="L141" s="11" t="inlineStr">
        <is>
          <t>-</t>
        </is>
      </c>
      <c r="M141" s="13" t="n"/>
      <c r="N141" s="13" t="n"/>
      <c r="O141" s="10" t="n">
        <v>100</v>
      </c>
      <c r="P141" s="11" t="inlineStr">
        <is>
          <t>مصرف مستقیم</t>
        </is>
      </c>
      <c r="Q141" s="10">
        <f>SUMIFS('ورودی برنامه'!$D$4:$D$16,'ورودی برنامه'!$A$4:$A$16,A141,'ورودی برنامه'!$C$4:$C$16,C141)</f>
        <v>650</v>
      </c>
      <c r="R141" s="10">
        <f>SUMIFS('ورودی برنامه'!$E$4:$E$16,'ورودی برنامه'!$A$4:$A$16,A141,'ورودی برنامه'!$C$4:$C$16,C141)</f>
        <v>800</v>
      </c>
      <c r="S141" s="10">
        <f>ROUND(Q141*J141/K141*O141/100,10)</f>
        <v>1950</v>
      </c>
      <c r="T141" s="10">
        <f>ROUND(R141*J141/K141*O141/100,10)</f>
        <v>2400</v>
      </c>
      <c r="U141" s="10" t="n">
        <v>1950</v>
      </c>
      <c r="V141" s="10" t="n">
        <v>2400</v>
      </c>
    </row>
    <row r="142" ht="20" customHeight="1">
      <c r="A142" s="5" t="n">
        <v>1200932</v>
      </c>
      <c r="B142" s="6" t="inlineStr">
        <is>
          <t>جلوآمپر کنترل ماشینی شده ICN SOREN یکسان سازی</t>
        </is>
      </c>
      <c r="C142" s="6" t="inlineStr">
        <is>
          <t>12009320110</t>
        </is>
      </c>
      <c r="D142" s="6" t="inlineStr">
        <is>
          <t>1405/06/23</t>
        </is>
      </c>
      <c r="E142" s="9" t="n"/>
      <c r="F142" s="5" t="n">
        <v>30330</v>
      </c>
      <c r="G142" s="5" t="n">
        <v>1110706</v>
      </c>
      <c r="H142" s="6" t="inlineStr">
        <is>
          <t>resistor 1K,1%,1/10W</t>
        </is>
      </c>
      <c r="I142" s="6" t="inlineStr">
        <is>
          <t>عدد</t>
        </is>
      </c>
      <c r="J142" s="5" t="n">
        <v>5</v>
      </c>
      <c r="K142" s="5" t="n">
        <v>1</v>
      </c>
      <c r="L142" s="6" t="inlineStr">
        <is>
          <t>14</t>
        </is>
      </c>
      <c r="M142" s="5" t="n">
        <v>2</v>
      </c>
      <c r="N142" s="5" t="n">
        <v>50</v>
      </c>
      <c r="O142" s="5">
        <f>N142</f>
        <v>50</v>
      </c>
      <c r="P142" s="6" t="inlineStr">
        <is>
          <t>سهم درصد استفاده BOM</t>
        </is>
      </c>
      <c r="Q142" s="5">
        <f>SUMIFS('ورودی برنامه'!$D$4:$D$16,'ورودی برنامه'!$A$4:$A$16,A142,'ورودی برنامه'!$C$4:$C$16,C142)</f>
        <v>650</v>
      </c>
      <c r="R142" s="5">
        <f>SUMIFS('ورودی برنامه'!$E$4:$E$16,'ورودی برنامه'!$A$4:$A$16,A142,'ورودی برنامه'!$C$4:$C$16,C142)</f>
        <v>800</v>
      </c>
      <c r="S142" s="5">
        <f>ROUND(Q142*J142/K142*O142/100,10)</f>
        <v>1625</v>
      </c>
      <c r="T142" s="5">
        <f>ROUND(R142*J142/K142*O142/100,10)</f>
        <v>2000</v>
      </c>
      <c r="U142" s="5" t="n">
        <v>3250</v>
      </c>
      <c r="V142" s="5" t="n">
        <v>2947</v>
      </c>
    </row>
    <row r="143" ht="20" customHeight="1">
      <c r="A143" s="10" t="n">
        <v>1200932</v>
      </c>
      <c r="B143" s="11" t="inlineStr">
        <is>
          <t>جلوآمپر کنترل ماشینی شده ICN SOREN یکسان سازی</t>
        </is>
      </c>
      <c r="C143" s="11" t="inlineStr">
        <is>
          <t>12009320110</t>
        </is>
      </c>
      <c r="D143" s="11" t="inlineStr">
        <is>
          <t>1405/06/23</t>
        </is>
      </c>
      <c r="E143" s="13" t="n"/>
      <c r="F143" s="10" t="n">
        <v>30334</v>
      </c>
      <c r="G143" s="10" t="n">
        <v>1110702</v>
      </c>
      <c r="H143" s="11" t="inlineStr">
        <is>
          <t>resistor 10K,1%,1/10W</t>
        </is>
      </c>
      <c r="I143" s="11" t="inlineStr">
        <is>
          <t>عدد</t>
        </is>
      </c>
      <c r="J143" s="10" t="n">
        <v>1</v>
      </c>
      <c r="K143" s="10" t="n">
        <v>1</v>
      </c>
      <c r="L143" s="11" t="inlineStr">
        <is>
          <t>-</t>
        </is>
      </c>
      <c r="M143" s="13" t="n"/>
      <c r="N143" s="13" t="n"/>
      <c r="O143" s="10" t="n">
        <v>100</v>
      </c>
      <c r="P143" s="11" t="inlineStr">
        <is>
          <t>مصرف مستقیم</t>
        </is>
      </c>
      <c r="Q143" s="10">
        <f>SUMIFS('ورودی برنامه'!$D$4:$D$16,'ورودی برنامه'!$A$4:$A$16,A143,'ورودی برنامه'!$C$4:$C$16,C143)</f>
        <v>650</v>
      </c>
      <c r="R143" s="10">
        <f>SUMIFS('ورودی برنامه'!$E$4:$E$16,'ورودی برنامه'!$A$4:$A$16,A143,'ورودی برنامه'!$C$4:$C$16,C143)</f>
        <v>800</v>
      </c>
      <c r="S143" s="10">
        <f>ROUND(Q143*J143/K143*O143/100,10)</f>
        <v>650</v>
      </c>
      <c r="T143" s="10">
        <f>ROUND(R143*J143/K143*O143/100,10)</f>
        <v>800</v>
      </c>
      <c r="U143" s="10" t="n">
        <v>650</v>
      </c>
      <c r="V143" s="10" t="n">
        <v>800</v>
      </c>
    </row>
    <row r="144" ht="20" customHeight="1">
      <c r="A144" s="5" t="n">
        <v>1200932</v>
      </c>
      <c r="B144" s="6" t="inlineStr">
        <is>
          <t>جلوآمپر کنترل ماشینی شده ICN SOREN یکسان سازی</t>
        </is>
      </c>
      <c r="C144" s="6" t="inlineStr">
        <is>
          <t>12009320110</t>
        </is>
      </c>
      <c r="D144" s="6" t="inlineStr">
        <is>
          <t>1405/06/23</t>
        </is>
      </c>
      <c r="E144" s="9" t="n"/>
      <c r="F144" s="5" t="n">
        <v>31714</v>
      </c>
      <c r="G144" s="5" t="n">
        <v>1110708</v>
      </c>
      <c r="H144" s="6" t="inlineStr">
        <is>
          <t>Resistor 1K,5%,1/10W (3004604</t>
        </is>
      </c>
      <c r="I144" s="6" t="inlineStr">
        <is>
          <t>عدد</t>
        </is>
      </c>
      <c r="J144" s="5" t="n">
        <v>5</v>
      </c>
      <c r="K144" s="5" t="n">
        <v>1</v>
      </c>
      <c r="L144" s="6" t="inlineStr">
        <is>
          <t>14</t>
        </is>
      </c>
      <c r="M144" s="5" t="n">
        <v>1</v>
      </c>
      <c r="N144" s="5" t="n">
        <v>50</v>
      </c>
      <c r="O144" s="5">
        <f>N144</f>
        <v>50</v>
      </c>
      <c r="P144" s="6" t="inlineStr">
        <is>
          <t>سهم درصد استفاده BOM</t>
        </is>
      </c>
      <c r="Q144" s="5">
        <f>SUMIFS('ورودی برنامه'!$D$4:$D$16,'ورودی برنامه'!$A$4:$A$16,A144,'ورودی برنامه'!$C$4:$C$16,C144)</f>
        <v>650</v>
      </c>
      <c r="R144" s="5">
        <f>SUMIFS('ورودی برنامه'!$E$4:$E$16,'ورودی برنامه'!$A$4:$A$16,A144,'ورودی برنامه'!$C$4:$C$16,C144)</f>
        <v>800</v>
      </c>
      <c r="S144" s="5">
        <f>ROUND(Q144*J144/K144*O144/100,10)</f>
        <v>1625</v>
      </c>
      <c r="T144" s="5">
        <f>ROUND(R144*J144/K144*O144/100,10)</f>
        <v>2000</v>
      </c>
      <c r="U144" s="5" t="n">
        <v>0</v>
      </c>
      <c r="V144" s="5" t="n">
        <v>1053</v>
      </c>
    </row>
    <row r="145" ht="20" customHeight="1">
      <c r="A145" s="10" t="n">
        <v>1200932</v>
      </c>
      <c r="B145" s="11" t="inlineStr">
        <is>
          <t>جلوآمپر کنترل ماشینی شده ICN SOREN یکسان سازی</t>
        </is>
      </c>
      <c r="C145" s="11" t="inlineStr">
        <is>
          <t>12009320110</t>
        </is>
      </c>
      <c r="D145" s="11" t="inlineStr">
        <is>
          <t>1405/06/23</t>
        </is>
      </c>
      <c r="E145" s="13" t="n"/>
      <c r="F145" s="10" t="n">
        <v>31994</v>
      </c>
      <c r="G145" s="10" t="n">
        <v>1110714</v>
      </c>
      <c r="H145" s="11" t="inlineStr">
        <is>
          <t>Resistor 22K,1%,1/10W</t>
        </is>
      </c>
      <c r="I145" s="11" t="inlineStr">
        <is>
          <t>عدد</t>
        </is>
      </c>
      <c r="J145" s="10" t="n">
        <v>1</v>
      </c>
      <c r="K145" s="10" t="n">
        <v>1</v>
      </c>
      <c r="L145" s="11" t="inlineStr">
        <is>
          <t>11</t>
        </is>
      </c>
      <c r="M145" s="10" t="n">
        <v>2</v>
      </c>
      <c r="N145" s="10" t="n">
        <v>50</v>
      </c>
      <c r="O145" s="10">
        <f>N145</f>
        <v>50</v>
      </c>
      <c r="P145" s="11" t="inlineStr">
        <is>
          <t>سهم درصد استفاده BOM</t>
        </is>
      </c>
      <c r="Q145" s="10">
        <f>SUMIFS('ورودی برنامه'!$D$4:$D$16,'ورودی برنامه'!$A$4:$A$16,A145,'ورودی برنامه'!$C$4:$C$16,C145)</f>
        <v>650</v>
      </c>
      <c r="R145" s="10">
        <f>SUMIFS('ورودی برنامه'!$E$4:$E$16,'ورودی برنامه'!$A$4:$A$16,A145,'ورودی برنامه'!$C$4:$C$16,C145)</f>
        <v>800</v>
      </c>
      <c r="S145" s="10">
        <f>ROUND(Q145*J145/K145*O145/100,10)</f>
        <v>325</v>
      </c>
      <c r="T145" s="10">
        <f>ROUND(R145*J145/K145*O145/100,10)</f>
        <v>400</v>
      </c>
      <c r="U145" s="10" t="n">
        <v>0</v>
      </c>
      <c r="V145" s="10" t="n">
        <v>0</v>
      </c>
    </row>
    <row r="146" ht="20" customHeight="1">
      <c r="A146" s="5" t="n">
        <v>1200932</v>
      </c>
      <c r="B146" s="6" t="inlineStr">
        <is>
          <t>جلوآمپر کنترل ماشینی شده ICN SOREN یکسان سازی</t>
        </is>
      </c>
      <c r="C146" s="6" t="inlineStr">
        <is>
          <t>12009320110</t>
        </is>
      </c>
      <c r="D146" s="6" t="inlineStr">
        <is>
          <t>1405/06/23</t>
        </is>
      </c>
      <c r="E146" s="9" t="n"/>
      <c r="F146" s="5" t="n">
        <v>33627</v>
      </c>
      <c r="G146" s="5" t="n">
        <v>1110101</v>
      </c>
      <c r="H146" s="6" t="inlineStr">
        <is>
          <t>Capacitor 47nF, X7R, 50V, 10%</t>
        </is>
      </c>
      <c r="I146" s="6" t="inlineStr">
        <is>
          <t>عدد</t>
        </is>
      </c>
      <c r="J146" s="5" t="n">
        <v>10</v>
      </c>
      <c r="K146" s="5" t="n">
        <v>1</v>
      </c>
      <c r="L146" s="6" t="inlineStr">
        <is>
          <t>-</t>
        </is>
      </c>
      <c r="M146" s="9" t="n"/>
      <c r="N146" s="9" t="n"/>
      <c r="O146" s="5" t="n">
        <v>100</v>
      </c>
      <c r="P146" s="6" t="inlineStr">
        <is>
          <t>مصرف مستقیم</t>
        </is>
      </c>
      <c r="Q146" s="5">
        <f>SUMIFS('ورودی برنامه'!$D$4:$D$16,'ورودی برنامه'!$A$4:$A$16,A146,'ورودی برنامه'!$C$4:$C$16,C146)</f>
        <v>650</v>
      </c>
      <c r="R146" s="5">
        <f>SUMIFS('ورودی برنامه'!$E$4:$E$16,'ورودی برنامه'!$A$4:$A$16,A146,'ورودی برنامه'!$C$4:$C$16,C146)</f>
        <v>800</v>
      </c>
      <c r="S146" s="5">
        <f>ROUND(Q146*J146/K146*O146/100,10)</f>
        <v>6500</v>
      </c>
      <c r="T146" s="5">
        <f>ROUND(R146*J146/K146*O146/100,10)</f>
        <v>8000</v>
      </c>
      <c r="U146" s="5" t="n">
        <v>6500</v>
      </c>
      <c r="V146" s="5" t="n">
        <v>8000</v>
      </c>
    </row>
    <row r="147" ht="20" customHeight="1">
      <c r="A147" s="10" t="n">
        <v>1200932</v>
      </c>
      <c r="B147" s="11" t="inlineStr">
        <is>
          <t>جلوآمپر کنترل ماشینی شده ICN SOREN یکسان سازی</t>
        </is>
      </c>
      <c r="C147" s="11" t="inlineStr">
        <is>
          <t>12009320110</t>
        </is>
      </c>
      <c r="D147" s="11" t="inlineStr">
        <is>
          <t>1405/06/23</t>
        </is>
      </c>
      <c r="E147" s="13" t="n"/>
      <c r="F147" s="10" t="n">
        <v>33925</v>
      </c>
      <c r="G147" s="10" t="n">
        <v>1110109</v>
      </c>
      <c r="H147" s="11" t="inlineStr">
        <is>
          <t>Capacitor 68pF , 5%,50V , X7R</t>
        </is>
      </c>
      <c r="I147" s="11" t="inlineStr">
        <is>
          <t>عدد</t>
        </is>
      </c>
      <c r="J147" s="10" t="n">
        <v>2</v>
      </c>
      <c r="K147" s="10" t="n">
        <v>1</v>
      </c>
      <c r="L147" s="11" t="inlineStr">
        <is>
          <t>-</t>
        </is>
      </c>
      <c r="M147" s="13" t="n"/>
      <c r="N147" s="13" t="n"/>
      <c r="O147" s="10" t="n">
        <v>100</v>
      </c>
      <c r="P147" s="11" t="inlineStr">
        <is>
          <t>مصرف مستقیم</t>
        </is>
      </c>
      <c r="Q147" s="10">
        <f>SUMIFS('ورودی برنامه'!$D$4:$D$16,'ورودی برنامه'!$A$4:$A$16,A147,'ورودی برنامه'!$C$4:$C$16,C147)</f>
        <v>650</v>
      </c>
      <c r="R147" s="10">
        <f>SUMIFS('ورودی برنامه'!$E$4:$E$16,'ورودی برنامه'!$A$4:$A$16,A147,'ورودی برنامه'!$C$4:$C$16,C147)</f>
        <v>800</v>
      </c>
      <c r="S147" s="10">
        <f>ROUND(Q147*J147/K147*O147/100,10)</f>
        <v>1300</v>
      </c>
      <c r="T147" s="10">
        <f>ROUND(R147*J147/K147*O147/100,10)</f>
        <v>1600</v>
      </c>
      <c r="U147" s="10" t="n">
        <v>1300</v>
      </c>
      <c r="V147" s="10" t="n">
        <v>1600</v>
      </c>
    </row>
    <row r="148" ht="20" customHeight="1">
      <c r="A148" s="5" t="n">
        <v>1200932</v>
      </c>
      <c r="B148" s="6" t="inlineStr">
        <is>
          <t>جلوآمپر کنترل ماشینی شده ICN SOREN یکسان سازی</t>
        </is>
      </c>
      <c r="C148" s="6" t="inlineStr">
        <is>
          <t>12009320110</t>
        </is>
      </c>
      <c r="D148" s="6" t="inlineStr">
        <is>
          <t>1405/06/23</t>
        </is>
      </c>
      <c r="E148" s="9" t="n"/>
      <c r="F148" s="5" t="n">
        <v>34394</v>
      </c>
      <c r="G148" s="5" t="n">
        <v>1110760</v>
      </c>
      <c r="H148" s="6" t="inlineStr">
        <is>
          <t>Resistor 47,5%,1/10W</t>
        </is>
      </c>
      <c r="I148" s="6" t="inlineStr">
        <is>
          <t>عدد</t>
        </is>
      </c>
      <c r="J148" s="5" t="n">
        <v>1</v>
      </c>
      <c r="K148" s="5" t="n">
        <v>1</v>
      </c>
      <c r="L148" s="6" t="inlineStr">
        <is>
          <t>-</t>
        </is>
      </c>
      <c r="M148" s="9" t="n"/>
      <c r="N148" s="9" t="n"/>
      <c r="O148" s="5" t="n">
        <v>100</v>
      </c>
      <c r="P148" s="6" t="inlineStr">
        <is>
          <t>مصرف مستقیم</t>
        </is>
      </c>
      <c r="Q148" s="5">
        <f>SUMIFS('ورودی برنامه'!$D$4:$D$16,'ورودی برنامه'!$A$4:$A$16,A148,'ورودی برنامه'!$C$4:$C$16,C148)</f>
        <v>650</v>
      </c>
      <c r="R148" s="5">
        <f>SUMIFS('ورودی برنامه'!$E$4:$E$16,'ورودی برنامه'!$A$4:$A$16,A148,'ورودی برنامه'!$C$4:$C$16,C148)</f>
        <v>800</v>
      </c>
      <c r="S148" s="5">
        <f>ROUND(Q148*J148/K148*O148/100,10)</f>
        <v>650</v>
      </c>
      <c r="T148" s="5">
        <f>ROUND(R148*J148/K148*O148/100,10)</f>
        <v>800</v>
      </c>
      <c r="U148" s="5" t="n">
        <v>650</v>
      </c>
      <c r="V148" s="5" t="n">
        <v>800</v>
      </c>
    </row>
    <row r="149" ht="20" customHeight="1">
      <c r="A149" s="10" t="n">
        <v>1200932</v>
      </c>
      <c r="B149" s="11" t="inlineStr">
        <is>
          <t>جلوآمپر کنترل ماشینی شده ICN SOREN یکسان سازی</t>
        </is>
      </c>
      <c r="C149" s="11" t="inlineStr">
        <is>
          <t>12009320110</t>
        </is>
      </c>
      <c r="D149" s="11" t="inlineStr">
        <is>
          <t>1405/06/23</t>
        </is>
      </c>
      <c r="E149" s="13" t="n"/>
      <c r="F149" s="10" t="n">
        <v>34438</v>
      </c>
      <c r="G149" s="10" t="n">
        <v>1110761</v>
      </c>
      <c r="H149" s="11" t="inlineStr">
        <is>
          <t>Resistor 4.7k, 1%, 1/16W</t>
        </is>
      </c>
      <c r="I149" s="11" t="inlineStr">
        <is>
          <t>عدد</t>
        </is>
      </c>
      <c r="J149" s="10" t="n">
        <v>2</v>
      </c>
      <c r="K149" s="10" t="n">
        <v>1</v>
      </c>
      <c r="L149" s="11" t="inlineStr">
        <is>
          <t>15</t>
        </is>
      </c>
      <c r="M149" s="10" t="n">
        <v>2</v>
      </c>
      <c r="N149" s="10" t="n">
        <v>50</v>
      </c>
      <c r="O149" s="10">
        <f>N149</f>
        <v>50</v>
      </c>
      <c r="P149" s="11" t="inlineStr">
        <is>
          <t>سهم درصد استفاده BOM</t>
        </is>
      </c>
      <c r="Q149" s="10">
        <f>SUMIFS('ورودی برنامه'!$D$4:$D$16,'ورودی برنامه'!$A$4:$A$16,A149,'ورودی برنامه'!$C$4:$C$16,C149)</f>
        <v>650</v>
      </c>
      <c r="R149" s="10">
        <f>SUMIFS('ورودی برنامه'!$E$4:$E$16,'ورودی برنامه'!$A$4:$A$16,A149,'ورودی برنامه'!$C$4:$C$16,C149)</f>
        <v>800</v>
      </c>
      <c r="S149" s="10">
        <f>ROUND(Q149*J149/K149*O149/100,10)</f>
        <v>650</v>
      </c>
      <c r="T149" s="10">
        <f>ROUND(R149*J149/K149*O149/100,10)</f>
        <v>800</v>
      </c>
      <c r="U149" s="10" t="n">
        <v>0</v>
      </c>
      <c r="V149" s="10" t="n">
        <v>0</v>
      </c>
    </row>
    <row r="150" ht="20" customHeight="1">
      <c r="A150" s="5" t="n">
        <v>1200932</v>
      </c>
      <c r="B150" s="6" t="inlineStr">
        <is>
          <t>جلوآمپر کنترل ماشینی شده ICN SOREN یکسان سازی</t>
        </is>
      </c>
      <c r="C150" s="6" t="inlineStr">
        <is>
          <t>12009320110</t>
        </is>
      </c>
      <c r="D150" s="6" t="inlineStr">
        <is>
          <t>1405/06/23</t>
        </is>
      </c>
      <c r="E150" s="9" t="n"/>
      <c r="F150" s="5" t="n">
        <v>35141</v>
      </c>
      <c r="G150" s="5" t="n">
        <v>1110749</v>
      </c>
      <c r="H150" s="6" t="inlineStr">
        <is>
          <t>Resistor 47K ,1%,1/16W</t>
        </is>
      </c>
      <c r="I150" s="6" t="inlineStr">
        <is>
          <t>عدد</t>
        </is>
      </c>
      <c r="J150" s="5" t="n">
        <v>1</v>
      </c>
      <c r="K150" s="5" t="n">
        <v>1</v>
      </c>
      <c r="L150" s="6" t="inlineStr">
        <is>
          <t>13</t>
        </is>
      </c>
      <c r="M150" s="5" t="n">
        <v>2</v>
      </c>
      <c r="N150" s="5" t="n">
        <v>50</v>
      </c>
      <c r="O150" s="5">
        <f>N150</f>
        <v>50</v>
      </c>
      <c r="P150" s="6" t="inlineStr">
        <is>
          <t>سهم درصد استفاده BOM</t>
        </is>
      </c>
      <c r="Q150" s="5">
        <f>SUMIFS('ورودی برنامه'!$D$4:$D$16,'ورودی برنامه'!$A$4:$A$16,A150,'ورودی برنامه'!$C$4:$C$16,C150)</f>
        <v>650</v>
      </c>
      <c r="R150" s="5">
        <f>SUMIFS('ورودی برنامه'!$E$4:$E$16,'ورودی برنامه'!$A$4:$A$16,A150,'ورودی برنامه'!$C$4:$C$16,C150)</f>
        <v>800</v>
      </c>
      <c r="S150" s="5">
        <f>ROUND(Q150*J150/K150*O150/100,10)</f>
        <v>325</v>
      </c>
      <c r="T150" s="5">
        <f>ROUND(R150*J150/K150*O150/100,10)</f>
        <v>400</v>
      </c>
      <c r="U150" s="5" t="n">
        <v>0</v>
      </c>
      <c r="V150" s="5" t="n">
        <v>0</v>
      </c>
    </row>
    <row r="151" ht="20" customHeight="1">
      <c r="A151" s="10" t="n">
        <v>1200932</v>
      </c>
      <c r="B151" s="11" t="inlineStr">
        <is>
          <t>جلوآمپر کنترل ماشینی شده ICN SOREN یکسان سازی</t>
        </is>
      </c>
      <c r="C151" s="11" t="inlineStr">
        <is>
          <t>12009320110</t>
        </is>
      </c>
      <c r="D151" s="11" t="inlineStr">
        <is>
          <t>1405/06/23</t>
        </is>
      </c>
      <c r="E151" s="13" t="n"/>
      <c r="F151" s="10" t="n">
        <v>36664</v>
      </c>
      <c r="G151" s="10" t="n">
        <v>1110875</v>
      </c>
      <c r="H151" s="11" t="inlineStr">
        <is>
          <t>LED, True Green LT T673-P1Q2-25-Z</t>
        </is>
      </c>
      <c r="I151" s="11" t="inlineStr">
        <is>
          <t>عدد</t>
        </is>
      </c>
      <c r="J151" s="10" t="n">
        <v>3</v>
      </c>
      <c r="K151" s="10" t="n">
        <v>1</v>
      </c>
      <c r="L151" s="11" t="inlineStr">
        <is>
          <t>5</t>
        </is>
      </c>
      <c r="M151" s="10" t="n">
        <v>2</v>
      </c>
      <c r="N151" s="10" t="n">
        <v>50</v>
      </c>
      <c r="O151" s="10">
        <f>N151</f>
        <v>50</v>
      </c>
      <c r="P151" s="11" t="inlineStr">
        <is>
          <t>سهم درصد استفاده BOM</t>
        </is>
      </c>
      <c r="Q151" s="10">
        <f>SUMIFS('ورودی برنامه'!$D$4:$D$16,'ورودی برنامه'!$A$4:$A$16,A151,'ورودی برنامه'!$C$4:$C$16,C151)</f>
        <v>650</v>
      </c>
      <c r="R151" s="10">
        <f>SUMIFS('ورودی برنامه'!$E$4:$E$16,'ورودی برنامه'!$A$4:$A$16,A151,'ورودی برنامه'!$C$4:$C$16,C151)</f>
        <v>800</v>
      </c>
      <c r="S151" s="10">
        <f>ROUND(Q151*J151/K151*O151/100,10)</f>
        <v>975</v>
      </c>
      <c r="T151" s="10">
        <f>ROUND(R151*J151/K151*O151/100,10)</f>
        <v>1200</v>
      </c>
      <c r="U151" s="10" t="n">
        <v>0</v>
      </c>
      <c r="V151" s="10" t="n">
        <v>0</v>
      </c>
    </row>
    <row r="152" ht="20" customHeight="1">
      <c r="A152" s="5" t="n">
        <v>1200932</v>
      </c>
      <c r="B152" s="6" t="inlineStr">
        <is>
          <t>جلوآمپر کنترل ماشینی شده ICN SOREN یکسان سازی</t>
        </is>
      </c>
      <c r="C152" s="6" t="inlineStr">
        <is>
          <t>12009320110</t>
        </is>
      </c>
      <c r="D152" s="6" t="inlineStr">
        <is>
          <t>1405/06/23</t>
        </is>
      </c>
      <c r="E152" s="9" t="n"/>
      <c r="F152" s="5" t="n">
        <v>36679</v>
      </c>
      <c r="G152" s="5" t="n">
        <v>1110876</v>
      </c>
      <c r="H152" s="6" t="inlineStr">
        <is>
          <t>LED, Blue LB T676-K2L2-1</t>
        </is>
      </c>
      <c r="I152" s="6" t="inlineStr">
        <is>
          <t>عدد</t>
        </is>
      </c>
      <c r="J152" s="5" t="n">
        <v>1</v>
      </c>
      <c r="K152" s="5" t="n">
        <v>1</v>
      </c>
      <c r="L152" s="6" t="inlineStr">
        <is>
          <t>4</t>
        </is>
      </c>
      <c r="M152" s="5" t="n">
        <v>3</v>
      </c>
      <c r="N152" s="5" t="n">
        <v>33</v>
      </c>
      <c r="O152" s="5">
        <f>N152</f>
        <v>33</v>
      </c>
      <c r="P152" s="6" t="inlineStr">
        <is>
          <t>سهم درصد استفاده BOM</t>
        </is>
      </c>
      <c r="Q152" s="5">
        <f>SUMIFS('ورودی برنامه'!$D$4:$D$16,'ورودی برنامه'!$A$4:$A$16,A152,'ورودی برنامه'!$C$4:$C$16,C152)</f>
        <v>650</v>
      </c>
      <c r="R152" s="5">
        <f>SUMIFS('ورودی برنامه'!$E$4:$E$16,'ورودی برنامه'!$A$4:$A$16,A152,'ورودی برنامه'!$C$4:$C$16,C152)</f>
        <v>800</v>
      </c>
      <c r="S152" s="5">
        <f>ROUND(Q152*J152/K152*O152/100,10)</f>
        <v>214.5</v>
      </c>
      <c r="T152" s="5">
        <f>ROUND(R152*J152/K152*O152/100,10)</f>
        <v>264</v>
      </c>
      <c r="U152" s="5" t="n">
        <v>0</v>
      </c>
      <c r="V152" s="5" t="n">
        <v>0</v>
      </c>
    </row>
    <row r="153" ht="20" customHeight="1">
      <c r="A153" s="10" t="n">
        <v>1200932</v>
      </c>
      <c r="B153" s="11" t="inlineStr">
        <is>
          <t>جلوآمپر کنترل ماشینی شده ICN SOREN یکسان سازی</t>
        </is>
      </c>
      <c r="C153" s="11" t="inlineStr">
        <is>
          <t>12009320110</t>
        </is>
      </c>
      <c r="D153" s="11" t="inlineStr">
        <is>
          <t>1405/06/23</t>
        </is>
      </c>
      <c r="E153" s="13" t="n"/>
      <c r="F153" s="10" t="n">
        <v>36964</v>
      </c>
      <c r="G153" s="10" t="n">
        <v>1110849</v>
      </c>
      <c r="H153" s="11" t="inlineStr">
        <is>
          <t>LED, Blue EL 67-21B1C-A1J2L1C6C-2T8-AM</t>
        </is>
      </c>
      <c r="I153" s="11" t="inlineStr">
        <is>
          <t>عدد</t>
        </is>
      </c>
      <c r="J153" s="10" t="n">
        <v>1</v>
      </c>
      <c r="K153" s="10" t="n">
        <v>1</v>
      </c>
      <c r="L153" s="11" t="inlineStr">
        <is>
          <t>4</t>
        </is>
      </c>
      <c r="M153" s="10" t="n">
        <v>2</v>
      </c>
      <c r="N153" s="10" t="n">
        <v>33</v>
      </c>
      <c r="O153" s="10">
        <f>N153</f>
        <v>33</v>
      </c>
      <c r="P153" s="11" t="inlineStr">
        <is>
          <t>سهم درصد استفاده BOM</t>
        </is>
      </c>
      <c r="Q153" s="10">
        <f>SUMIFS('ورودی برنامه'!$D$4:$D$16,'ورودی برنامه'!$A$4:$A$16,A153,'ورودی برنامه'!$C$4:$C$16,C153)</f>
        <v>650</v>
      </c>
      <c r="R153" s="10">
        <f>SUMIFS('ورودی برنامه'!$E$4:$E$16,'ورودی برنامه'!$A$4:$A$16,A153,'ورودی برنامه'!$C$4:$C$16,C153)</f>
        <v>800</v>
      </c>
      <c r="S153" s="10">
        <f>ROUND(Q153*J153/K153*O153/100,10)</f>
        <v>214.5</v>
      </c>
      <c r="T153" s="10">
        <f>ROUND(R153*J153/K153*O153/100,10)</f>
        <v>264</v>
      </c>
      <c r="U153" s="10" t="n">
        <v>0</v>
      </c>
      <c r="V153" s="10" t="n">
        <v>0</v>
      </c>
    </row>
    <row r="154" ht="20" customHeight="1">
      <c r="A154" s="5" t="n">
        <v>1200932</v>
      </c>
      <c r="B154" s="6" t="inlineStr">
        <is>
          <t>جلوآمپر کنترل ماشینی شده ICN SOREN یکسان سازی</t>
        </is>
      </c>
      <c r="C154" s="6" t="inlineStr">
        <is>
          <t>12009320110</t>
        </is>
      </c>
      <c r="D154" s="6" t="inlineStr">
        <is>
          <t>1405/06/23</t>
        </is>
      </c>
      <c r="E154" s="9" t="n"/>
      <c r="F154" s="5" t="n">
        <v>36980</v>
      </c>
      <c r="G154" s="5" t="n">
        <v>1110877</v>
      </c>
      <c r="H154" s="6" t="inlineStr">
        <is>
          <t>LED, White FYLS-3528UWC-Z</t>
        </is>
      </c>
      <c r="I154" s="6" t="inlineStr">
        <is>
          <t>عدد</t>
        </is>
      </c>
      <c r="J154" s="5" t="n">
        <v>10</v>
      </c>
      <c r="K154" s="5" t="n">
        <v>1</v>
      </c>
      <c r="L154" s="6" t="inlineStr">
        <is>
          <t>3</t>
        </is>
      </c>
      <c r="M154" s="5" t="n">
        <v>4</v>
      </c>
      <c r="N154" s="5" t="n">
        <v>25</v>
      </c>
      <c r="O154" s="5">
        <f>N154</f>
        <v>25</v>
      </c>
      <c r="P154" s="6" t="inlineStr">
        <is>
          <t>سهم درصد استفاده BOM</t>
        </is>
      </c>
      <c r="Q154" s="5">
        <f>SUMIFS('ورودی برنامه'!$D$4:$D$16,'ورودی برنامه'!$A$4:$A$16,A154,'ورودی برنامه'!$C$4:$C$16,C154)</f>
        <v>650</v>
      </c>
      <c r="R154" s="5">
        <f>SUMIFS('ورودی برنامه'!$E$4:$E$16,'ورودی برنامه'!$A$4:$A$16,A154,'ورودی برنامه'!$C$4:$C$16,C154)</f>
        <v>800</v>
      </c>
      <c r="S154" s="5">
        <f>ROUND(Q154*J154/K154*O154/100,10)</f>
        <v>1625</v>
      </c>
      <c r="T154" s="5">
        <f>ROUND(R154*J154/K154*O154/100,10)</f>
        <v>2000</v>
      </c>
      <c r="U154" s="5" t="n">
        <v>0</v>
      </c>
      <c r="V154" s="5" t="n">
        <v>0</v>
      </c>
    </row>
    <row r="155" ht="20" customHeight="1">
      <c r="A155" s="10" t="n">
        <v>1200932</v>
      </c>
      <c r="B155" s="11" t="inlineStr">
        <is>
          <t>جلوآمپر کنترل ماشینی شده ICN SOREN یکسان سازی</t>
        </is>
      </c>
      <c r="C155" s="11" t="inlineStr">
        <is>
          <t>12009320110</t>
        </is>
      </c>
      <c r="D155" s="11" t="inlineStr">
        <is>
          <t>1405/06/23</t>
        </is>
      </c>
      <c r="E155" s="13" t="n"/>
      <c r="F155" s="10" t="n">
        <v>37175</v>
      </c>
      <c r="G155" s="10" t="n">
        <v>1110848</v>
      </c>
      <c r="H155" s="11" t="inlineStr">
        <is>
          <t>LED, White UE-PT440NW0-10T</t>
        </is>
      </c>
      <c r="I155" s="11" t="inlineStr">
        <is>
          <t>عدد</t>
        </is>
      </c>
      <c r="J155" s="10" t="n">
        <v>10</v>
      </c>
      <c r="K155" s="10" t="n">
        <v>1</v>
      </c>
      <c r="L155" s="11" t="inlineStr">
        <is>
          <t>3</t>
        </is>
      </c>
      <c r="M155" s="10" t="n">
        <v>3</v>
      </c>
      <c r="N155" s="10" t="n">
        <v>25</v>
      </c>
      <c r="O155" s="10">
        <f>N155</f>
        <v>25</v>
      </c>
      <c r="P155" s="11" t="inlineStr">
        <is>
          <t>سهم درصد استفاده BOM</t>
        </is>
      </c>
      <c r="Q155" s="10">
        <f>SUMIFS('ورودی برنامه'!$D$4:$D$16,'ورودی برنامه'!$A$4:$A$16,A155,'ورودی برنامه'!$C$4:$C$16,C155)</f>
        <v>650</v>
      </c>
      <c r="R155" s="10">
        <f>SUMIFS('ورودی برنامه'!$E$4:$E$16,'ورودی برنامه'!$A$4:$A$16,A155,'ورودی برنامه'!$C$4:$C$16,C155)</f>
        <v>800</v>
      </c>
      <c r="S155" s="10">
        <f>ROUND(Q155*J155/K155*O155/100,10)</f>
        <v>1625</v>
      </c>
      <c r="T155" s="10">
        <f>ROUND(R155*J155/K155*O155/100,10)</f>
        <v>2000</v>
      </c>
      <c r="U155" s="10" t="n">
        <v>0</v>
      </c>
      <c r="V155" s="10" t="n">
        <v>0</v>
      </c>
    </row>
    <row r="156" ht="20" customHeight="1">
      <c r="A156" s="5" t="n">
        <v>1200932</v>
      </c>
      <c r="B156" s="6" t="inlineStr">
        <is>
          <t>جلوآمپر کنترل ماشینی شده ICN SOREN یکسان سازی</t>
        </is>
      </c>
      <c r="C156" s="6" t="inlineStr">
        <is>
          <t>12009320110</t>
        </is>
      </c>
      <c r="D156" s="6" t="inlineStr">
        <is>
          <t>1405/06/23</t>
        </is>
      </c>
      <c r="E156" s="9" t="n"/>
      <c r="F156" s="5" t="n">
        <v>37192</v>
      </c>
      <c r="G156" s="5" t="n">
        <v>1110847</v>
      </c>
      <c r="H156" s="6" t="inlineStr">
        <is>
          <t>LED, White AT-PLCC2-W1</t>
        </is>
      </c>
      <c r="I156" s="6" t="inlineStr">
        <is>
          <t>عدد</t>
        </is>
      </c>
      <c r="J156" s="5" t="n">
        <v>10</v>
      </c>
      <c r="K156" s="5" t="n">
        <v>1</v>
      </c>
      <c r="L156" s="6" t="inlineStr">
        <is>
          <t>3</t>
        </is>
      </c>
      <c r="M156" s="5" t="n">
        <v>2</v>
      </c>
      <c r="N156" s="5" t="n">
        <v>25</v>
      </c>
      <c r="O156" s="5">
        <f>N156</f>
        <v>25</v>
      </c>
      <c r="P156" s="6" t="inlineStr">
        <is>
          <t>سهم درصد استفاده BOM</t>
        </is>
      </c>
      <c r="Q156" s="5">
        <f>SUMIFS('ورودی برنامه'!$D$4:$D$16,'ورودی برنامه'!$A$4:$A$16,A156,'ورودی برنامه'!$C$4:$C$16,C156)</f>
        <v>650</v>
      </c>
      <c r="R156" s="5">
        <f>SUMIFS('ورودی برنامه'!$E$4:$E$16,'ورودی برنامه'!$A$4:$A$16,A156,'ورودی برنامه'!$C$4:$C$16,C156)</f>
        <v>800</v>
      </c>
      <c r="S156" s="5">
        <f>ROUND(Q156*J156/K156*O156/100,10)</f>
        <v>1625</v>
      </c>
      <c r="T156" s="5">
        <f>ROUND(R156*J156/K156*O156/100,10)</f>
        <v>2000</v>
      </c>
      <c r="U156" s="5" t="n">
        <v>0</v>
      </c>
      <c r="V156" s="5" t="n">
        <v>0</v>
      </c>
    </row>
    <row r="157" ht="20" customHeight="1">
      <c r="A157" s="10" t="n">
        <v>1200932</v>
      </c>
      <c r="B157" s="11" t="inlineStr">
        <is>
          <t>جلوآمپر کنترل ماشینی شده ICN SOREN یکسان سازی</t>
        </is>
      </c>
      <c r="C157" s="11" t="inlineStr">
        <is>
          <t>12009320110</t>
        </is>
      </c>
      <c r="D157" s="11" t="inlineStr">
        <is>
          <t>1405/06/23</t>
        </is>
      </c>
      <c r="E157" s="13" t="n"/>
      <c r="F157" s="10" t="n">
        <v>37537</v>
      </c>
      <c r="G157" s="10" t="n">
        <v>1110779</v>
      </c>
      <c r="H157" s="11" t="inlineStr">
        <is>
          <t>Resistor 27K,1%,1/10W</t>
        </is>
      </c>
      <c r="I157" s="11" t="inlineStr">
        <is>
          <t>عدد</t>
        </is>
      </c>
      <c r="J157" s="10" t="n">
        <v>1</v>
      </c>
      <c r="K157" s="10" t="n">
        <v>1</v>
      </c>
      <c r="L157" s="11" t="inlineStr">
        <is>
          <t>-</t>
        </is>
      </c>
      <c r="M157" s="13" t="n"/>
      <c r="N157" s="13" t="n"/>
      <c r="O157" s="10" t="n">
        <v>100</v>
      </c>
      <c r="P157" s="11" t="inlineStr">
        <is>
          <t>مصرف مستقیم</t>
        </is>
      </c>
      <c r="Q157" s="10">
        <f>SUMIFS('ورودی برنامه'!$D$4:$D$16,'ورودی برنامه'!$A$4:$A$16,A157,'ورودی برنامه'!$C$4:$C$16,C157)</f>
        <v>650</v>
      </c>
      <c r="R157" s="10">
        <f>SUMIFS('ورودی برنامه'!$E$4:$E$16,'ورودی برنامه'!$A$4:$A$16,A157,'ورودی برنامه'!$C$4:$C$16,C157)</f>
        <v>800</v>
      </c>
      <c r="S157" s="10">
        <f>ROUND(Q157*J157/K157*O157/100,10)</f>
        <v>650</v>
      </c>
      <c r="T157" s="10">
        <f>ROUND(R157*J157/K157*O157/100,10)</f>
        <v>800</v>
      </c>
      <c r="U157" s="10" t="n">
        <v>650</v>
      </c>
      <c r="V157" s="10" t="n">
        <v>800</v>
      </c>
    </row>
    <row r="158" ht="20" customHeight="1">
      <c r="A158" s="5" t="n">
        <v>1200932</v>
      </c>
      <c r="B158" s="6" t="inlineStr">
        <is>
          <t>جلوآمپر کنترل ماشینی شده ICN SOREN یکسان سازی</t>
        </is>
      </c>
      <c r="C158" s="6" t="inlineStr">
        <is>
          <t>12009320110</t>
        </is>
      </c>
      <c r="D158" s="6" t="inlineStr">
        <is>
          <t>1405/06/23</t>
        </is>
      </c>
      <c r="E158" s="9" t="n"/>
      <c r="F158" s="5" t="n">
        <v>37543</v>
      </c>
      <c r="G158" s="5" t="n">
        <v>1110901</v>
      </c>
      <c r="H158" s="6" t="inlineStr">
        <is>
          <t>Diode 1N4007WS</t>
        </is>
      </c>
      <c r="I158" s="6" t="inlineStr">
        <is>
          <t>عدد</t>
        </is>
      </c>
      <c r="J158" s="5" t="n">
        <v>3</v>
      </c>
      <c r="K158" s="5" t="n">
        <v>1</v>
      </c>
      <c r="L158" s="6" t="inlineStr">
        <is>
          <t>-</t>
        </is>
      </c>
      <c r="M158" s="9" t="n"/>
      <c r="N158" s="9" t="n"/>
      <c r="O158" s="5" t="n">
        <v>100</v>
      </c>
      <c r="P158" s="6" t="inlineStr">
        <is>
          <t>مصرف مستقیم</t>
        </is>
      </c>
      <c r="Q158" s="5">
        <f>SUMIFS('ورودی برنامه'!$D$4:$D$16,'ورودی برنامه'!$A$4:$A$16,A158,'ورودی برنامه'!$C$4:$C$16,C158)</f>
        <v>650</v>
      </c>
      <c r="R158" s="5">
        <f>SUMIFS('ورودی برنامه'!$E$4:$E$16,'ورودی برنامه'!$A$4:$A$16,A158,'ورودی برنامه'!$C$4:$C$16,C158)</f>
        <v>800</v>
      </c>
      <c r="S158" s="5">
        <f>ROUND(Q158*J158/K158*O158/100,10)</f>
        <v>1950</v>
      </c>
      <c r="T158" s="5">
        <f>ROUND(R158*J158/K158*O158/100,10)</f>
        <v>2400</v>
      </c>
      <c r="U158" s="5" t="n">
        <v>1950</v>
      </c>
      <c r="V158" s="5" t="n">
        <v>2400</v>
      </c>
    </row>
    <row r="159" ht="20" customHeight="1">
      <c r="A159" s="10" t="n">
        <v>1201060</v>
      </c>
      <c r="B159" s="11" t="inlineStr">
        <is>
          <t>برد الکترونیکی ایموبلایزر EIM -مونتاژ ماشینی شده</t>
        </is>
      </c>
      <c r="C159" s="11" t="inlineStr">
        <is>
          <t>12010600100-01</t>
        </is>
      </c>
      <c r="D159" s="11" t="inlineStr">
        <is>
          <t>1405/05/10</t>
        </is>
      </c>
      <c r="E159" s="13" t="n"/>
      <c r="F159" s="10" t="n">
        <v>477</v>
      </c>
      <c r="G159" s="10" t="n">
        <v>1110771</v>
      </c>
      <c r="H159" s="11" t="inlineStr">
        <is>
          <t>1206,Resistor 1.5K,5%,1/4W</t>
        </is>
      </c>
      <c r="I159" s="11" t="inlineStr">
        <is>
          <t>عدد</t>
        </is>
      </c>
      <c r="J159" s="10" t="n">
        <v>2</v>
      </c>
      <c r="K159" s="10" t="n">
        <v>1</v>
      </c>
      <c r="L159" s="11" t="inlineStr">
        <is>
          <t>-</t>
        </is>
      </c>
      <c r="M159" s="13" t="n"/>
      <c r="N159" s="13" t="n"/>
      <c r="O159" s="10" t="n">
        <v>100</v>
      </c>
      <c r="P159" s="11" t="inlineStr">
        <is>
          <t>مصرف مستقیم</t>
        </is>
      </c>
      <c r="Q159" s="10">
        <f>SUMIFS('ورودی برنامه'!$D$4:$D$16,'ورودی برنامه'!$A$4:$A$16,A159,'ورودی برنامه'!$C$4:$C$16,C159)</f>
        <v>2450</v>
      </c>
      <c r="R159" s="10">
        <f>SUMIFS('ورودی برنامه'!$E$4:$E$16,'ورودی برنامه'!$A$4:$A$16,A159,'ورودی برنامه'!$C$4:$C$16,C159)</f>
        <v>2400</v>
      </c>
      <c r="S159" s="10">
        <f>ROUND(Q159*J159/K159*O159/100,10)</f>
        <v>4900</v>
      </c>
      <c r="T159" s="10">
        <f>ROUND(R159*J159/K159*O159/100,10)</f>
        <v>4800</v>
      </c>
      <c r="U159" s="10" t="n">
        <v>4900</v>
      </c>
      <c r="V159" s="10" t="n">
        <v>4800</v>
      </c>
    </row>
    <row r="160" ht="20" customHeight="1">
      <c r="A160" s="5" t="n">
        <v>1201060</v>
      </c>
      <c r="B160" s="6" t="inlineStr">
        <is>
          <t>برد الکترونیکی ایموبلایزر EIM -مونتاژ ماشینی شده</t>
        </is>
      </c>
      <c r="C160" s="6" t="inlineStr">
        <is>
          <t>12010600100-01</t>
        </is>
      </c>
      <c r="D160" s="6" t="inlineStr">
        <is>
          <t>1405/05/10</t>
        </is>
      </c>
      <c r="E160" s="9" t="n"/>
      <c r="F160" s="5" t="n">
        <v>2393</v>
      </c>
      <c r="G160" s="5" t="n">
        <v>1111050</v>
      </c>
      <c r="H160" s="6" t="inlineStr">
        <is>
          <t>IC Microcontroller 8bit PIC18F25K80-I/SS</t>
        </is>
      </c>
      <c r="I160" s="6" t="inlineStr">
        <is>
          <t>عدد(شمارشی)</t>
        </is>
      </c>
      <c r="J160" s="5" t="n">
        <v>1</v>
      </c>
      <c r="K160" s="5" t="n">
        <v>1</v>
      </c>
      <c r="L160" s="6" t="inlineStr">
        <is>
          <t>-</t>
        </is>
      </c>
      <c r="M160" s="9" t="n"/>
      <c r="N160" s="9" t="n"/>
      <c r="O160" s="5" t="n">
        <v>100</v>
      </c>
      <c r="P160" s="6" t="inlineStr">
        <is>
          <t>مصرف مستقیم</t>
        </is>
      </c>
      <c r="Q160" s="5">
        <f>SUMIFS('ورودی برنامه'!$D$4:$D$16,'ورودی برنامه'!$A$4:$A$16,A160,'ورودی برنامه'!$C$4:$C$16,C160)</f>
        <v>2450</v>
      </c>
      <c r="R160" s="5">
        <f>SUMIFS('ورودی برنامه'!$E$4:$E$16,'ورودی برنامه'!$A$4:$A$16,A160,'ورودی برنامه'!$C$4:$C$16,C160)</f>
        <v>2400</v>
      </c>
      <c r="S160" s="5">
        <f>ROUND(Q160*J160/K160*O160/100,10)</f>
        <v>2450</v>
      </c>
      <c r="T160" s="5">
        <f>ROUND(R160*J160/K160*O160/100,10)</f>
        <v>2400</v>
      </c>
      <c r="U160" s="5" t="n">
        <v>2450</v>
      </c>
      <c r="V160" s="5" t="n">
        <v>2400</v>
      </c>
    </row>
    <row r="161" ht="20" customHeight="1">
      <c r="A161" s="10" t="n">
        <v>1201060</v>
      </c>
      <c r="B161" s="11" t="inlineStr">
        <is>
          <t>برد الکترونیکی ایموبلایزر EIM -مونتاژ ماشینی شده</t>
        </is>
      </c>
      <c r="C161" s="11" t="inlineStr">
        <is>
          <t>12010600100-01</t>
        </is>
      </c>
      <c r="D161" s="11" t="inlineStr">
        <is>
          <t>1405/05/10</t>
        </is>
      </c>
      <c r="E161" s="13" t="n"/>
      <c r="F161" s="10" t="n">
        <v>2394</v>
      </c>
      <c r="G161" s="10" t="n">
        <v>1111051</v>
      </c>
      <c r="H161" s="11" t="inlineStr">
        <is>
          <t>IC PCF7991AT</t>
        </is>
      </c>
      <c r="I161" s="11" t="inlineStr">
        <is>
          <t>عدد(شمارشی)</t>
        </is>
      </c>
      <c r="J161" s="10" t="n">
        <v>1</v>
      </c>
      <c r="K161" s="10" t="n">
        <v>1</v>
      </c>
      <c r="L161" s="11" t="inlineStr">
        <is>
          <t>-</t>
        </is>
      </c>
      <c r="M161" s="13" t="n"/>
      <c r="N161" s="13" t="n"/>
      <c r="O161" s="10" t="n">
        <v>100</v>
      </c>
      <c r="P161" s="11" t="inlineStr">
        <is>
          <t>مصرف مستقیم</t>
        </is>
      </c>
      <c r="Q161" s="10">
        <f>SUMIFS('ورودی برنامه'!$D$4:$D$16,'ورودی برنامه'!$A$4:$A$16,A161,'ورودی برنامه'!$C$4:$C$16,C161)</f>
        <v>2450</v>
      </c>
      <c r="R161" s="10">
        <f>SUMIFS('ورودی برنامه'!$E$4:$E$16,'ورودی برنامه'!$A$4:$A$16,A161,'ورودی برنامه'!$C$4:$C$16,C161)</f>
        <v>2400</v>
      </c>
      <c r="S161" s="10">
        <f>ROUND(Q161*J161/K161*O161/100,10)</f>
        <v>2450</v>
      </c>
      <c r="T161" s="10">
        <f>ROUND(R161*J161/K161*O161/100,10)</f>
        <v>2400</v>
      </c>
      <c r="U161" s="10" t="n">
        <v>2450</v>
      </c>
      <c r="V161" s="10" t="n">
        <v>2400</v>
      </c>
    </row>
    <row r="162" ht="20" customHeight="1">
      <c r="A162" s="5" t="n">
        <v>1201060</v>
      </c>
      <c r="B162" s="6" t="inlineStr">
        <is>
          <t>برد الکترونیکی ایموبلایزر EIM -مونتاژ ماشینی شده</t>
        </is>
      </c>
      <c r="C162" s="6" t="inlineStr">
        <is>
          <t>12010600100-01</t>
        </is>
      </c>
      <c r="D162" s="6" t="inlineStr">
        <is>
          <t>1405/05/10</t>
        </is>
      </c>
      <c r="E162" s="9" t="n"/>
      <c r="F162" s="5" t="n">
        <v>2397</v>
      </c>
      <c r="G162" s="5" t="n">
        <v>1111052</v>
      </c>
      <c r="H162" s="6" t="inlineStr">
        <is>
          <t>IC Regulator TLE42744DV50ATMA1</t>
        </is>
      </c>
      <c r="I162" s="6" t="inlineStr">
        <is>
          <t>عدد(شمارشی)</t>
        </is>
      </c>
      <c r="J162" s="5" t="n">
        <v>1</v>
      </c>
      <c r="K162" s="5" t="n">
        <v>1</v>
      </c>
      <c r="L162" s="6" t="inlineStr">
        <is>
          <t>-</t>
        </is>
      </c>
      <c r="M162" s="9" t="n"/>
      <c r="N162" s="9" t="n"/>
      <c r="O162" s="5" t="n">
        <v>100</v>
      </c>
      <c r="P162" s="6" t="inlineStr">
        <is>
          <t>مصرف مستقیم</t>
        </is>
      </c>
      <c r="Q162" s="5">
        <f>SUMIFS('ورودی برنامه'!$D$4:$D$16,'ورودی برنامه'!$A$4:$A$16,A162,'ورودی برنامه'!$C$4:$C$16,C162)</f>
        <v>2450</v>
      </c>
      <c r="R162" s="5">
        <f>SUMIFS('ورودی برنامه'!$E$4:$E$16,'ورودی برنامه'!$A$4:$A$16,A162,'ورودی برنامه'!$C$4:$C$16,C162)</f>
        <v>2400</v>
      </c>
      <c r="S162" s="5">
        <f>ROUND(Q162*J162/K162*O162/100,10)</f>
        <v>2450</v>
      </c>
      <c r="T162" s="5">
        <f>ROUND(R162*J162/K162*O162/100,10)</f>
        <v>2400</v>
      </c>
      <c r="U162" s="5" t="n">
        <v>2450</v>
      </c>
      <c r="V162" s="5" t="n">
        <v>2400</v>
      </c>
    </row>
    <row r="163" ht="20" customHeight="1">
      <c r="A163" s="10" t="n">
        <v>1201060</v>
      </c>
      <c r="B163" s="11" t="inlineStr">
        <is>
          <t>برد الکترونیکی ایموبلایزر EIM -مونتاژ ماشینی شده</t>
        </is>
      </c>
      <c r="C163" s="11" t="inlineStr">
        <is>
          <t>12010600100-01</t>
        </is>
      </c>
      <c r="D163" s="11" t="inlineStr">
        <is>
          <t>1405/05/10</t>
        </is>
      </c>
      <c r="E163" s="13" t="n"/>
      <c r="F163" s="10" t="n">
        <v>2398</v>
      </c>
      <c r="G163" s="10" t="n">
        <v>1110649</v>
      </c>
      <c r="H163" s="11" t="inlineStr">
        <is>
          <t>DIODE ESD protection PESD1CAN</t>
        </is>
      </c>
      <c r="I163" s="11" t="inlineStr">
        <is>
          <t>عدد(شمارشی)</t>
        </is>
      </c>
      <c r="J163" s="10" t="n">
        <v>1</v>
      </c>
      <c r="K163" s="10" t="n">
        <v>1</v>
      </c>
      <c r="L163" s="11" t="inlineStr">
        <is>
          <t>-</t>
        </is>
      </c>
      <c r="M163" s="13" t="n"/>
      <c r="N163" s="13" t="n"/>
      <c r="O163" s="10" t="n">
        <v>100</v>
      </c>
      <c r="P163" s="11" t="inlineStr">
        <is>
          <t>مصرف مستقیم</t>
        </is>
      </c>
      <c r="Q163" s="10">
        <f>SUMIFS('ورودی برنامه'!$D$4:$D$16,'ورودی برنامه'!$A$4:$A$16,A163,'ورودی برنامه'!$C$4:$C$16,C163)</f>
        <v>2450</v>
      </c>
      <c r="R163" s="10">
        <f>SUMIFS('ورودی برنامه'!$E$4:$E$16,'ورودی برنامه'!$A$4:$A$16,A163,'ورودی برنامه'!$C$4:$C$16,C163)</f>
        <v>2400</v>
      </c>
      <c r="S163" s="10">
        <f>ROUND(Q163*J163/K163*O163/100,10)</f>
        <v>2450</v>
      </c>
      <c r="T163" s="10">
        <f>ROUND(R163*J163/K163*O163/100,10)</f>
        <v>2400</v>
      </c>
      <c r="U163" s="10" t="n">
        <v>2450</v>
      </c>
      <c r="V163" s="10" t="n">
        <v>2400</v>
      </c>
    </row>
    <row r="164" ht="20" customHeight="1">
      <c r="A164" s="5" t="n">
        <v>1201060</v>
      </c>
      <c r="B164" s="6" t="inlineStr">
        <is>
          <t>برد الکترونیکی ایموبلایزر EIM -مونتاژ ماشینی شده</t>
        </is>
      </c>
      <c r="C164" s="6" t="inlineStr">
        <is>
          <t>12010600100-01</t>
        </is>
      </c>
      <c r="D164" s="6" t="inlineStr">
        <is>
          <t>1405/05/10</t>
        </is>
      </c>
      <c r="E164" s="9" t="n"/>
      <c r="F164" s="5" t="n">
        <v>2401</v>
      </c>
      <c r="G164" s="5" t="n">
        <v>1110813</v>
      </c>
      <c r="H164" s="6" t="inlineStr">
        <is>
          <t>DIODE S1JHM3/61T</t>
        </is>
      </c>
      <c r="I164" s="6" t="inlineStr">
        <is>
          <t>عدد(شمارشی)</t>
        </is>
      </c>
      <c r="J164" s="5" t="n">
        <v>1</v>
      </c>
      <c r="K164" s="5" t="n">
        <v>1</v>
      </c>
      <c r="L164" s="6" t="inlineStr">
        <is>
          <t>-</t>
        </is>
      </c>
      <c r="M164" s="9" t="n"/>
      <c r="N164" s="9" t="n"/>
      <c r="O164" s="5" t="n">
        <v>100</v>
      </c>
      <c r="P164" s="6" t="inlineStr">
        <is>
          <t>مصرف مستقیم</t>
        </is>
      </c>
      <c r="Q164" s="5">
        <f>SUMIFS('ورودی برنامه'!$D$4:$D$16,'ورودی برنامه'!$A$4:$A$16,A164,'ورودی برنامه'!$C$4:$C$16,C164)</f>
        <v>2450</v>
      </c>
      <c r="R164" s="5">
        <f>SUMIFS('ورودی برنامه'!$E$4:$E$16,'ورودی برنامه'!$A$4:$A$16,A164,'ورودی برنامه'!$C$4:$C$16,C164)</f>
        <v>2400</v>
      </c>
      <c r="S164" s="5">
        <f>ROUND(Q164*J164/K164*O164/100,10)</f>
        <v>2450</v>
      </c>
      <c r="T164" s="5">
        <f>ROUND(R164*J164/K164*O164/100,10)</f>
        <v>2400</v>
      </c>
      <c r="U164" s="5" t="n">
        <v>2450</v>
      </c>
      <c r="V164" s="5" t="n">
        <v>2400</v>
      </c>
    </row>
    <row r="165" ht="20" customHeight="1">
      <c r="A165" s="10" t="n">
        <v>1201060</v>
      </c>
      <c r="B165" s="11" t="inlineStr">
        <is>
          <t>برد الکترونیکی ایموبلایزر EIM -مونتاژ ماشینی شده</t>
        </is>
      </c>
      <c r="C165" s="11" t="inlineStr">
        <is>
          <t>12010600100-01</t>
        </is>
      </c>
      <c r="D165" s="11" t="inlineStr">
        <is>
          <t>1405/05/10</t>
        </is>
      </c>
      <c r="E165" s="13" t="n"/>
      <c r="F165" s="10" t="n">
        <v>2402</v>
      </c>
      <c r="G165" s="10" t="n">
        <v>1110634</v>
      </c>
      <c r="H165" s="11" t="inlineStr">
        <is>
          <t>transistor BC817-25</t>
        </is>
      </c>
      <c r="I165" s="11" t="inlineStr">
        <is>
          <t>عدد(شمارشی)</t>
        </is>
      </c>
      <c r="J165" s="10" t="n">
        <v>2</v>
      </c>
      <c r="K165" s="10" t="n">
        <v>1</v>
      </c>
      <c r="L165" s="11" t="inlineStr">
        <is>
          <t>-</t>
        </is>
      </c>
      <c r="M165" s="13" t="n"/>
      <c r="N165" s="13" t="n"/>
      <c r="O165" s="10" t="n">
        <v>100</v>
      </c>
      <c r="P165" s="11" t="inlineStr">
        <is>
          <t>مصرف مستقیم</t>
        </is>
      </c>
      <c r="Q165" s="10">
        <f>SUMIFS('ورودی برنامه'!$D$4:$D$16,'ورودی برنامه'!$A$4:$A$16,A165,'ورودی برنامه'!$C$4:$C$16,C165)</f>
        <v>2450</v>
      </c>
      <c r="R165" s="10">
        <f>SUMIFS('ورودی برنامه'!$E$4:$E$16,'ورودی برنامه'!$A$4:$A$16,A165,'ورودی برنامه'!$C$4:$C$16,C165)</f>
        <v>2400</v>
      </c>
      <c r="S165" s="10">
        <f>ROUND(Q165*J165/K165*O165/100,10)</f>
        <v>4900</v>
      </c>
      <c r="T165" s="10">
        <f>ROUND(R165*J165/K165*O165/100,10)</f>
        <v>4800</v>
      </c>
      <c r="U165" s="10" t="n">
        <v>4900</v>
      </c>
      <c r="V165" s="10" t="n">
        <v>4800</v>
      </c>
    </row>
    <row r="166" ht="20" customHeight="1">
      <c r="A166" s="5" t="n">
        <v>1201060</v>
      </c>
      <c r="B166" s="6" t="inlineStr">
        <is>
          <t>برد الکترونیکی ایموبلایزر EIM -مونتاژ ماشینی شده</t>
        </is>
      </c>
      <c r="C166" s="6" t="inlineStr">
        <is>
          <t>12010600100-01</t>
        </is>
      </c>
      <c r="D166" s="6" t="inlineStr">
        <is>
          <t>1405/05/10</t>
        </is>
      </c>
      <c r="E166" s="9" t="n"/>
      <c r="F166" s="5" t="n">
        <v>2405</v>
      </c>
      <c r="G166" s="5" t="n">
        <v>1110673</v>
      </c>
      <c r="H166" s="6" t="inlineStr">
        <is>
          <t>Resistor 240k Ohms ±5%  0.125W, 1/8W</t>
        </is>
      </c>
      <c r="I166" s="6" t="inlineStr">
        <is>
          <t>عدد(شمارشی)</t>
        </is>
      </c>
      <c r="J166" s="5" t="n">
        <v>1</v>
      </c>
      <c r="K166" s="5" t="n">
        <v>1</v>
      </c>
      <c r="L166" s="6" t="inlineStr">
        <is>
          <t>-</t>
        </is>
      </c>
      <c r="M166" s="9" t="n"/>
      <c r="N166" s="9" t="n"/>
      <c r="O166" s="5" t="n">
        <v>100</v>
      </c>
      <c r="P166" s="6" t="inlineStr">
        <is>
          <t>مصرف مستقیم</t>
        </is>
      </c>
      <c r="Q166" s="5">
        <f>SUMIFS('ورودی برنامه'!$D$4:$D$16,'ورودی برنامه'!$A$4:$A$16,A166,'ورودی برنامه'!$C$4:$C$16,C166)</f>
        <v>2450</v>
      </c>
      <c r="R166" s="5">
        <f>SUMIFS('ورودی برنامه'!$E$4:$E$16,'ورودی برنامه'!$A$4:$A$16,A166,'ورودی برنامه'!$C$4:$C$16,C166)</f>
        <v>2400</v>
      </c>
      <c r="S166" s="5">
        <f>ROUND(Q166*J166/K166*O166/100,10)</f>
        <v>2450</v>
      </c>
      <c r="T166" s="5">
        <f>ROUND(R166*J166/K166*O166/100,10)</f>
        <v>2400</v>
      </c>
      <c r="U166" s="5" t="n">
        <v>2450</v>
      </c>
      <c r="V166" s="5" t="n">
        <v>2400</v>
      </c>
    </row>
    <row r="167" ht="20" customHeight="1">
      <c r="A167" s="10" t="n">
        <v>1201060</v>
      </c>
      <c r="B167" s="11" t="inlineStr">
        <is>
          <t>برد الکترونیکی ایموبلایزر EIM -مونتاژ ماشینی شده</t>
        </is>
      </c>
      <c r="C167" s="11" t="inlineStr">
        <is>
          <t>12010600100-01</t>
        </is>
      </c>
      <c r="D167" s="11" t="inlineStr">
        <is>
          <t>1405/05/10</t>
        </is>
      </c>
      <c r="E167" s="13" t="n"/>
      <c r="F167" s="10" t="n">
        <v>2406</v>
      </c>
      <c r="G167" s="10" t="n">
        <v>1110196</v>
      </c>
      <c r="H167" s="11" t="inlineStr">
        <is>
          <t>Resistor 220k Ohms ±5%  0.125W, 1/8W</t>
        </is>
      </c>
      <c r="I167" s="11" t="inlineStr">
        <is>
          <t>عدد(شمارشی)</t>
        </is>
      </c>
      <c r="J167" s="10" t="n">
        <v>4</v>
      </c>
      <c r="K167" s="10" t="n">
        <v>1</v>
      </c>
      <c r="L167" s="11" t="inlineStr">
        <is>
          <t>-</t>
        </is>
      </c>
      <c r="M167" s="13" t="n"/>
      <c r="N167" s="13" t="n"/>
      <c r="O167" s="10" t="n">
        <v>100</v>
      </c>
      <c r="P167" s="11" t="inlineStr">
        <is>
          <t>مصرف مستقیم</t>
        </is>
      </c>
      <c r="Q167" s="10">
        <f>SUMIFS('ورودی برنامه'!$D$4:$D$16,'ورودی برنامه'!$A$4:$A$16,A167,'ورودی برنامه'!$C$4:$C$16,C167)</f>
        <v>2450</v>
      </c>
      <c r="R167" s="10">
        <f>SUMIFS('ورودی برنامه'!$E$4:$E$16,'ورودی برنامه'!$A$4:$A$16,A167,'ورودی برنامه'!$C$4:$C$16,C167)</f>
        <v>2400</v>
      </c>
      <c r="S167" s="10">
        <f>ROUND(Q167*J167/K167*O167/100,10)</f>
        <v>9800</v>
      </c>
      <c r="T167" s="10">
        <f>ROUND(R167*J167/K167*O167/100,10)</f>
        <v>9600</v>
      </c>
      <c r="U167" s="10" t="n">
        <v>9800</v>
      </c>
      <c r="V167" s="10" t="n">
        <v>9600</v>
      </c>
    </row>
    <row r="168" ht="20" customHeight="1">
      <c r="A168" s="5" t="n">
        <v>1201060</v>
      </c>
      <c r="B168" s="6" t="inlineStr">
        <is>
          <t>برد الکترونیکی ایموبلایزر EIM -مونتاژ ماشینی شده</t>
        </is>
      </c>
      <c r="C168" s="6" t="inlineStr">
        <is>
          <t>12010600100-01</t>
        </is>
      </c>
      <c r="D168" s="6" t="inlineStr">
        <is>
          <t>1405/05/10</t>
        </is>
      </c>
      <c r="E168" s="9" t="n"/>
      <c r="F168" s="5" t="n">
        <v>2409</v>
      </c>
      <c r="G168" s="5" t="n">
        <v>1110751</v>
      </c>
      <c r="H168" s="6" t="inlineStr">
        <is>
          <t>Resistor 0 Ohms ±5%  0.125W, 1/8W</t>
        </is>
      </c>
      <c r="I168" s="6" t="inlineStr">
        <is>
          <t>عدد(شمارشی)</t>
        </is>
      </c>
      <c r="J168" s="5" t="n">
        <v>5</v>
      </c>
      <c r="K168" s="5" t="n">
        <v>1</v>
      </c>
      <c r="L168" s="6" t="inlineStr">
        <is>
          <t>-</t>
        </is>
      </c>
      <c r="M168" s="9" t="n"/>
      <c r="N168" s="9" t="n"/>
      <c r="O168" s="5" t="n">
        <v>100</v>
      </c>
      <c r="P168" s="6" t="inlineStr">
        <is>
          <t>مصرف مستقیم</t>
        </is>
      </c>
      <c r="Q168" s="5">
        <f>SUMIFS('ورودی برنامه'!$D$4:$D$16,'ورودی برنامه'!$A$4:$A$16,A168,'ورودی برنامه'!$C$4:$C$16,C168)</f>
        <v>2450</v>
      </c>
      <c r="R168" s="5">
        <f>SUMIFS('ورودی برنامه'!$E$4:$E$16,'ورودی برنامه'!$A$4:$A$16,A168,'ورودی برنامه'!$C$4:$C$16,C168)</f>
        <v>2400</v>
      </c>
      <c r="S168" s="5">
        <f>ROUND(Q168*J168/K168*O168/100,10)</f>
        <v>12250</v>
      </c>
      <c r="T168" s="5">
        <f>ROUND(R168*J168/K168*O168/100,10)</f>
        <v>12000</v>
      </c>
      <c r="U168" s="5" t="n">
        <v>12250</v>
      </c>
      <c r="V168" s="5" t="n">
        <v>12000</v>
      </c>
    </row>
    <row r="169" ht="20" customHeight="1">
      <c r="A169" s="10" t="n">
        <v>1201060</v>
      </c>
      <c r="B169" s="11" t="inlineStr">
        <is>
          <t>برد الکترونیکی ایموبلایزر EIM -مونتاژ ماشینی شده</t>
        </is>
      </c>
      <c r="C169" s="11" t="inlineStr">
        <is>
          <t>12010600100-01</t>
        </is>
      </c>
      <c r="D169" s="11" t="inlineStr">
        <is>
          <t>1405/05/10</t>
        </is>
      </c>
      <c r="E169" s="13" t="n"/>
      <c r="F169" s="10" t="n">
        <v>2410</v>
      </c>
      <c r="G169" s="10" t="n">
        <v>1110753</v>
      </c>
      <c r="H169" s="11" t="inlineStr">
        <is>
          <t>Resistor 16.5 Ohms ±1% 0.25W, 1/4W</t>
        </is>
      </c>
      <c r="I169" s="11" t="inlineStr">
        <is>
          <t>عدد(شمارشی)</t>
        </is>
      </c>
      <c r="J169" s="10" t="n">
        <v>1</v>
      </c>
      <c r="K169" s="10" t="n">
        <v>1</v>
      </c>
      <c r="L169" s="11" t="inlineStr">
        <is>
          <t>-</t>
        </is>
      </c>
      <c r="M169" s="13" t="n"/>
      <c r="N169" s="13" t="n"/>
      <c r="O169" s="10" t="n">
        <v>100</v>
      </c>
      <c r="P169" s="11" t="inlineStr">
        <is>
          <t>مصرف مستقیم</t>
        </is>
      </c>
      <c r="Q169" s="10">
        <f>SUMIFS('ورودی برنامه'!$D$4:$D$16,'ورودی برنامه'!$A$4:$A$16,A169,'ورودی برنامه'!$C$4:$C$16,C169)</f>
        <v>2450</v>
      </c>
      <c r="R169" s="10">
        <f>SUMIFS('ورودی برنامه'!$E$4:$E$16,'ورودی برنامه'!$A$4:$A$16,A169,'ورودی برنامه'!$C$4:$C$16,C169)</f>
        <v>2400</v>
      </c>
      <c r="S169" s="10">
        <f>ROUND(Q169*J169/K169*O169/100,10)</f>
        <v>2450</v>
      </c>
      <c r="T169" s="10">
        <f>ROUND(R169*J169/K169*O169/100,10)</f>
        <v>2400</v>
      </c>
      <c r="U169" s="10" t="n">
        <v>2450</v>
      </c>
      <c r="V169" s="10" t="n">
        <v>2400</v>
      </c>
    </row>
    <row r="170" ht="20" customHeight="1">
      <c r="A170" s="5" t="n">
        <v>1201060</v>
      </c>
      <c r="B170" s="6" t="inlineStr">
        <is>
          <t>برد الکترونیکی ایموبلایزر EIM -مونتاژ ماشینی شده</t>
        </is>
      </c>
      <c r="C170" s="6" t="inlineStr">
        <is>
          <t>12010600100-01</t>
        </is>
      </c>
      <c r="D170" s="6" t="inlineStr">
        <is>
          <t>1405/05/10</t>
        </is>
      </c>
      <c r="E170" s="9" t="n"/>
      <c r="F170" s="5" t="n">
        <v>2413</v>
      </c>
      <c r="G170" s="5" t="n">
        <v>1110772</v>
      </c>
      <c r="H170" s="6" t="inlineStr">
        <is>
          <t>Resistor 6.8 Ohms ±5%  0.125W, 1/8W</t>
        </is>
      </c>
      <c r="I170" s="6" t="inlineStr">
        <is>
          <t>عدد(شمارشی)</t>
        </is>
      </c>
      <c r="J170" s="5" t="n">
        <v>2</v>
      </c>
      <c r="K170" s="5" t="n">
        <v>1</v>
      </c>
      <c r="L170" s="6" t="inlineStr">
        <is>
          <t>-</t>
        </is>
      </c>
      <c r="M170" s="9" t="n"/>
      <c r="N170" s="9" t="n"/>
      <c r="O170" s="5" t="n">
        <v>100</v>
      </c>
      <c r="P170" s="6" t="inlineStr">
        <is>
          <t>مصرف مستقیم</t>
        </is>
      </c>
      <c r="Q170" s="5">
        <f>SUMIFS('ورودی برنامه'!$D$4:$D$16,'ورودی برنامه'!$A$4:$A$16,A170,'ورودی برنامه'!$C$4:$C$16,C170)</f>
        <v>2450</v>
      </c>
      <c r="R170" s="5">
        <f>SUMIFS('ورودی برنامه'!$E$4:$E$16,'ورودی برنامه'!$A$4:$A$16,A170,'ورودی برنامه'!$C$4:$C$16,C170)</f>
        <v>2400</v>
      </c>
      <c r="S170" s="5">
        <f>ROUND(Q170*J170/K170*O170/100,10)</f>
        <v>4900</v>
      </c>
      <c r="T170" s="5">
        <f>ROUND(R170*J170/K170*O170/100,10)</f>
        <v>4800</v>
      </c>
      <c r="U170" s="5" t="n">
        <v>4900</v>
      </c>
      <c r="V170" s="5" t="n">
        <v>4800</v>
      </c>
    </row>
    <row r="171" ht="20" customHeight="1">
      <c r="A171" s="10" t="n">
        <v>1201060</v>
      </c>
      <c r="B171" s="11" t="inlineStr">
        <is>
          <t>برد الکترونیکی ایموبلایزر EIM -مونتاژ ماشینی شده</t>
        </is>
      </c>
      <c r="C171" s="11" t="inlineStr">
        <is>
          <t>12010600100-01</t>
        </is>
      </c>
      <c r="D171" s="11" t="inlineStr">
        <is>
          <t>1405/05/10</t>
        </is>
      </c>
      <c r="E171" s="13" t="n"/>
      <c r="F171" s="10" t="n">
        <v>2414</v>
      </c>
      <c r="G171" s="10" t="n">
        <v>1110773</v>
      </c>
      <c r="H171" s="11" t="inlineStr">
        <is>
          <t>Resistor 18K Ohms ±1% 0.125W, 1/8W</t>
        </is>
      </c>
      <c r="I171" s="11" t="inlineStr">
        <is>
          <t>عدد(شمارشی)</t>
        </is>
      </c>
      <c r="J171" s="10" t="n">
        <v>1</v>
      </c>
      <c r="K171" s="10" t="n">
        <v>1</v>
      </c>
      <c r="L171" s="11" t="inlineStr">
        <is>
          <t>-</t>
        </is>
      </c>
      <c r="M171" s="13" t="n"/>
      <c r="N171" s="13" t="n"/>
      <c r="O171" s="10" t="n">
        <v>100</v>
      </c>
      <c r="P171" s="11" t="inlineStr">
        <is>
          <t>مصرف مستقیم</t>
        </is>
      </c>
      <c r="Q171" s="10">
        <f>SUMIFS('ورودی برنامه'!$D$4:$D$16,'ورودی برنامه'!$A$4:$A$16,A171,'ورودی برنامه'!$C$4:$C$16,C171)</f>
        <v>2450</v>
      </c>
      <c r="R171" s="10">
        <f>SUMIFS('ورودی برنامه'!$E$4:$E$16,'ورودی برنامه'!$A$4:$A$16,A171,'ورودی برنامه'!$C$4:$C$16,C171)</f>
        <v>2400</v>
      </c>
      <c r="S171" s="10">
        <f>ROUND(Q171*J171/K171*O171/100,10)</f>
        <v>2450</v>
      </c>
      <c r="T171" s="10">
        <f>ROUND(R171*J171/K171*O171/100,10)</f>
        <v>2400</v>
      </c>
      <c r="U171" s="10" t="n">
        <v>2450</v>
      </c>
      <c r="V171" s="10" t="n">
        <v>2400</v>
      </c>
    </row>
    <row r="172" ht="20" customHeight="1">
      <c r="A172" s="5" t="n">
        <v>1201060</v>
      </c>
      <c r="B172" s="6" t="inlineStr">
        <is>
          <t>برد الکترونیکی ایموبلایزر EIM -مونتاژ ماشینی شده</t>
        </is>
      </c>
      <c r="C172" s="6" t="inlineStr">
        <is>
          <t>12010600100-01</t>
        </is>
      </c>
      <c r="D172" s="6" t="inlineStr">
        <is>
          <t>1405/05/10</t>
        </is>
      </c>
      <c r="E172" s="9" t="n"/>
      <c r="F172" s="5" t="n">
        <v>2417</v>
      </c>
      <c r="G172" s="5" t="n">
        <v>1110562</v>
      </c>
      <c r="H172" s="6" t="inlineStr">
        <is>
          <t>Capacitor 100nF ±10% 25V X7R</t>
        </is>
      </c>
      <c r="I172" s="6" t="inlineStr">
        <is>
          <t>عدد(شمارشی)</t>
        </is>
      </c>
      <c r="J172" s="5" t="n">
        <v>9</v>
      </c>
      <c r="K172" s="5" t="n">
        <v>1</v>
      </c>
      <c r="L172" s="6" t="inlineStr">
        <is>
          <t>-</t>
        </is>
      </c>
      <c r="M172" s="9" t="n"/>
      <c r="N172" s="9" t="n"/>
      <c r="O172" s="5" t="n">
        <v>100</v>
      </c>
      <c r="P172" s="6" t="inlineStr">
        <is>
          <t>مصرف مستقیم</t>
        </is>
      </c>
      <c r="Q172" s="5">
        <f>SUMIFS('ورودی برنامه'!$D$4:$D$16,'ورودی برنامه'!$A$4:$A$16,A172,'ورودی برنامه'!$C$4:$C$16,C172)</f>
        <v>2450</v>
      </c>
      <c r="R172" s="5">
        <f>SUMIFS('ورودی برنامه'!$E$4:$E$16,'ورودی برنامه'!$A$4:$A$16,A172,'ورودی برنامه'!$C$4:$C$16,C172)</f>
        <v>2400</v>
      </c>
      <c r="S172" s="5">
        <f>ROUND(Q172*J172/K172*O172/100,10)</f>
        <v>22050</v>
      </c>
      <c r="T172" s="5">
        <f>ROUND(R172*J172/K172*O172/100,10)</f>
        <v>21600</v>
      </c>
      <c r="U172" s="5" t="n">
        <v>22050</v>
      </c>
      <c r="V172" s="5" t="n">
        <v>21600</v>
      </c>
    </row>
    <row r="173" ht="20" customHeight="1">
      <c r="A173" s="10" t="n">
        <v>1201060</v>
      </c>
      <c r="B173" s="11" t="inlineStr">
        <is>
          <t>برد الکترونیکی ایموبلایزر EIM -مونتاژ ماشینی شده</t>
        </is>
      </c>
      <c r="C173" s="11" t="inlineStr">
        <is>
          <t>12010600100-01</t>
        </is>
      </c>
      <c r="D173" s="11" t="inlineStr">
        <is>
          <t>1405/05/10</t>
        </is>
      </c>
      <c r="E173" s="13" t="n"/>
      <c r="F173" s="10" t="n">
        <v>2418</v>
      </c>
      <c r="G173" s="10" t="n">
        <v>1110563</v>
      </c>
      <c r="H173" s="11" t="inlineStr">
        <is>
          <t>Capacitor 10nF ±5% 25V C0G</t>
        </is>
      </c>
      <c r="I173" s="11" t="inlineStr">
        <is>
          <t>عدد(شمارشی)</t>
        </is>
      </c>
      <c r="J173" s="10" t="n">
        <v>6</v>
      </c>
      <c r="K173" s="10" t="n">
        <v>1</v>
      </c>
      <c r="L173" s="11" t="inlineStr">
        <is>
          <t>-</t>
        </is>
      </c>
      <c r="M173" s="13" t="n"/>
      <c r="N173" s="13" t="n"/>
      <c r="O173" s="10" t="n">
        <v>100</v>
      </c>
      <c r="P173" s="11" t="inlineStr">
        <is>
          <t>مصرف مستقیم</t>
        </is>
      </c>
      <c r="Q173" s="10">
        <f>SUMIFS('ورودی برنامه'!$D$4:$D$16,'ورودی برنامه'!$A$4:$A$16,A173,'ورودی برنامه'!$C$4:$C$16,C173)</f>
        <v>2450</v>
      </c>
      <c r="R173" s="10">
        <f>SUMIFS('ورودی برنامه'!$E$4:$E$16,'ورودی برنامه'!$A$4:$A$16,A173,'ورودی برنامه'!$C$4:$C$16,C173)</f>
        <v>2400</v>
      </c>
      <c r="S173" s="10">
        <f>ROUND(Q173*J173/K173*O173/100,10)</f>
        <v>14700</v>
      </c>
      <c r="T173" s="10">
        <f>ROUND(R173*J173/K173*O173/100,10)</f>
        <v>14400</v>
      </c>
      <c r="U173" s="10" t="n">
        <v>14700</v>
      </c>
      <c r="V173" s="10" t="n">
        <v>14400</v>
      </c>
    </row>
    <row r="174" ht="20" customHeight="1">
      <c r="A174" s="5" t="n">
        <v>1201060</v>
      </c>
      <c r="B174" s="6" t="inlineStr">
        <is>
          <t>برد الکترونیکی ایموبلایزر EIM -مونتاژ ماشینی شده</t>
        </is>
      </c>
      <c r="C174" s="6" t="inlineStr">
        <is>
          <t>12010600100-01</t>
        </is>
      </c>
      <c r="D174" s="6" t="inlineStr">
        <is>
          <t>1405/05/10</t>
        </is>
      </c>
      <c r="E174" s="9" t="n"/>
      <c r="F174" s="5" t="n">
        <v>2421</v>
      </c>
      <c r="G174" s="5" t="n">
        <v>1110564</v>
      </c>
      <c r="H174" s="6" t="inlineStr">
        <is>
          <t>Capacitor 100pf ±5% 25V  X8R</t>
        </is>
      </c>
      <c r="I174" s="6" t="inlineStr">
        <is>
          <t>عدد(شمارشی)</t>
        </is>
      </c>
      <c r="J174" s="5" t="n">
        <v>6</v>
      </c>
      <c r="K174" s="5" t="n">
        <v>1</v>
      </c>
      <c r="L174" s="6" t="inlineStr">
        <is>
          <t>-</t>
        </is>
      </c>
      <c r="M174" s="9" t="n"/>
      <c r="N174" s="9" t="n"/>
      <c r="O174" s="5" t="n">
        <v>100</v>
      </c>
      <c r="P174" s="6" t="inlineStr">
        <is>
          <t>مصرف مستقیم</t>
        </is>
      </c>
      <c r="Q174" s="5">
        <f>SUMIFS('ورودی برنامه'!$D$4:$D$16,'ورودی برنامه'!$A$4:$A$16,A174,'ورودی برنامه'!$C$4:$C$16,C174)</f>
        <v>2450</v>
      </c>
      <c r="R174" s="5">
        <f>SUMIFS('ورودی برنامه'!$E$4:$E$16,'ورودی برنامه'!$A$4:$A$16,A174,'ورودی برنامه'!$C$4:$C$16,C174)</f>
        <v>2400</v>
      </c>
      <c r="S174" s="5">
        <f>ROUND(Q174*J174/K174*O174/100,10)</f>
        <v>14700</v>
      </c>
      <c r="T174" s="5">
        <f>ROUND(R174*J174/K174*O174/100,10)</f>
        <v>14400</v>
      </c>
      <c r="U174" s="5" t="n">
        <v>14700</v>
      </c>
      <c r="V174" s="5" t="n">
        <v>14400</v>
      </c>
    </row>
    <row r="175" ht="20" customHeight="1">
      <c r="A175" s="10" t="n">
        <v>1201060</v>
      </c>
      <c r="B175" s="11" t="inlineStr">
        <is>
          <t>برد الکترونیکی ایموبلایزر EIM -مونتاژ ماشینی شده</t>
        </is>
      </c>
      <c r="C175" s="11" t="inlineStr">
        <is>
          <t>12010600100-01</t>
        </is>
      </c>
      <c r="D175" s="11" t="inlineStr">
        <is>
          <t>1405/05/10</t>
        </is>
      </c>
      <c r="E175" s="13" t="n"/>
      <c r="F175" s="10" t="n">
        <v>2422</v>
      </c>
      <c r="G175" s="10" t="n">
        <v>1110565</v>
      </c>
      <c r="H175" s="11" t="inlineStr">
        <is>
          <t>Capacitor 100uf/25V Aluminum Electrolytic</t>
        </is>
      </c>
      <c r="I175" s="11" t="inlineStr">
        <is>
          <t>عدد(شمارشی)</t>
        </is>
      </c>
      <c r="J175" s="10" t="n">
        <v>1</v>
      </c>
      <c r="K175" s="10" t="n">
        <v>1</v>
      </c>
      <c r="L175" s="11" t="inlineStr">
        <is>
          <t>-</t>
        </is>
      </c>
      <c r="M175" s="13" t="n"/>
      <c r="N175" s="13" t="n"/>
      <c r="O175" s="10" t="n">
        <v>100</v>
      </c>
      <c r="P175" s="11" t="inlineStr">
        <is>
          <t>مصرف مستقیم</t>
        </is>
      </c>
      <c r="Q175" s="10">
        <f>SUMIFS('ورودی برنامه'!$D$4:$D$16,'ورودی برنامه'!$A$4:$A$16,A175,'ورودی برنامه'!$C$4:$C$16,C175)</f>
        <v>2450</v>
      </c>
      <c r="R175" s="10">
        <f>SUMIFS('ورودی برنامه'!$E$4:$E$16,'ورودی برنامه'!$A$4:$A$16,A175,'ورودی برنامه'!$C$4:$C$16,C175)</f>
        <v>2400</v>
      </c>
      <c r="S175" s="10">
        <f>ROUND(Q175*J175/K175*O175/100,10)</f>
        <v>2450</v>
      </c>
      <c r="T175" s="10">
        <f>ROUND(R175*J175/K175*O175/100,10)</f>
        <v>2400</v>
      </c>
      <c r="U175" s="10" t="n">
        <v>2450</v>
      </c>
      <c r="V175" s="10" t="n">
        <v>2400</v>
      </c>
    </row>
    <row r="176" ht="20" customHeight="1">
      <c r="A176" s="5" t="n">
        <v>1201060</v>
      </c>
      <c r="B176" s="6" t="inlineStr">
        <is>
          <t>برد الکترونیکی ایموبلایزر EIM -مونتاژ ماشینی شده</t>
        </is>
      </c>
      <c r="C176" s="6" t="inlineStr">
        <is>
          <t>12010600100-01</t>
        </is>
      </c>
      <c r="D176" s="6" t="inlineStr">
        <is>
          <t>1405/05/10</t>
        </is>
      </c>
      <c r="E176" s="9" t="n"/>
      <c r="F176" s="5" t="n">
        <v>2425</v>
      </c>
      <c r="G176" s="5" t="n">
        <v>1110567</v>
      </c>
      <c r="H176" s="6" t="inlineStr">
        <is>
          <t>Capacitor 27pF, 25V , 5% , X8R</t>
        </is>
      </c>
      <c r="I176" s="6" t="inlineStr">
        <is>
          <t>عدد(شمارشی)</t>
        </is>
      </c>
      <c r="J176" s="5" t="n">
        <v>2</v>
      </c>
      <c r="K176" s="5" t="n">
        <v>1</v>
      </c>
      <c r="L176" s="6" t="inlineStr">
        <is>
          <t>-</t>
        </is>
      </c>
      <c r="M176" s="9" t="n"/>
      <c r="N176" s="9" t="n"/>
      <c r="O176" s="5" t="n">
        <v>100</v>
      </c>
      <c r="P176" s="6" t="inlineStr">
        <is>
          <t>مصرف مستقیم</t>
        </is>
      </c>
      <c r="Q176" s="5">
        <f>SUMIFS('ورودی برنامه'!$D$4:$D$16,'ورودی برنامه'!$A$4:$A$16,A176,'ورودی برنامه'!$C$4:$C$16,C176)</f>
        <v>2450</v>
      </c>
      <c r="R176" s="5">
        <f>SUMIFS('ورودی برنامه'!$E$4:$E$16,'ورودی برنامه'!$A$4:$A$16,A176,'ورودی برنامه'!$C$4:$C$16,C176)</f>
        <v>2400</v>
      </c>
      <c r="S176" s="5">
        <f>ROUND(Q176*J176/K176*O176/100,10)</f>
        <v>4900</v>
      </c>
      <c r="T176" s="5">
        <f>ROUND(R176*J176/K176*O176/100,10)</f>
        <v>4800</v>
      </c>
      <c r="U176" s="5" t="n">
        <v>4900</v>
      </c>
      <c r="V176" s="5" t="n">
        <v>4800</v>
      </c>
    </row>
    <row r="177" ht="20" customHeight="1">
      <c r="A177" s="10" t="n">
        <v>1201060</v>
      </c>
      <c r="B177" s="11" t="inlineStr">
        <is>
          <t>برد الکترونیکی ایموبلایزر EIM -مونتاژ ماشینی شده</t>
        </is>
      </c>
      <c r="C177" s="11" t="inlineStr">
        <is>
          <t>12010600100-01</t>
        </is>
      </c>
      <c r="D177" s="11" t="inlineStr">
        <is>
          <t>1405/05/10</t>
        </is>
      </c>
      <c r="E177" s="13" t="n"/>
      <c r="F177" s="10" t="n">
        <v>2426</v>
      </c>
      <c r="G177" s="10" t="n">
        <v>1110568</v>
      </c>
      <c r="H177" s="11" t="inlineStr">
        <is>
          <t>Capacitor 2.7nF ±10% 25V X8R</t>
        </is>
      </c>
      <c r="I177" s="11" t="inlineStr">
        <is>
          <t>عدد(شمارشی)</t>
        </is>
      </c>
      <c r="J177" s="10" t="n">
        <v>1</v>
      </c>
      <c r="K177" s="10" t="n">
        <v>1</v>
      </c>
      <c r="L177" s="11" t="inlineStr">
        <is>
          <t>-</t>
        </is>
      </c>
      <c r="M177" s="13" t="n"/>
      <c r="N177" s="13" t="n"/>
      <c r="O177" s="10" t="n">
        <v>100</v>
      </c>
      <c r="P177" s="11" t="inlineStr">
        <is>
          <t>مصرف مستقیم</t>
        </is>
      </c>
      <c r="Q177" s="10">
        <f>SUMIFS('ورودی برنامه'!$D$4:$D$16,'ورودی برنامه'!$A$4:$A$16,A177,'ورودی برنامه'!$C$4:$C$16,C177)</f>
        <v>2450</v>
      </c>
      <c r="R177" s="10">
        <f>SUMIFS('ورودی برنامه'!$E$4:$E$16,'ورودی برنامه'!$A$4:$A$16,A177,'ورودی برنامه'!$C$4:$C$16,C177)</f>
        <v>2400</v>
      </c>
      <c r="S177" s="10">
        <f>ROUND(Q177*J177/K177*O177/100,10)</f>
        <v>2450</v>
      </c>
      <c r="T177" s="10">
        <f>ROUND(R177*J177/K177*O177/100,10)</f>
        <v>2400</v>
      </c>
      <c r="U177" s="10" t="n">
        <v>2450</v>
      </c>
      <c r="V177" s="10" t="n">
        <v>2400</v>
      </c>
    </row>
    <row r="178" ht="20" customHeight="1">
      <c r="A178" s="5" t="n">
        <v>1201060</v>
      </c>
      <c r="B178" s="6" t="inlineStr">
        <is>
          <t>برد الکترونیکی ایموبلایزر EIM -مونتاژ ماشینی شده</t>
        </is>
      </c>
      <c r="C178" s="6" t="inlineStr">
        <is>
          <t>12010600100-01</t>
        </is>
      </c>
      <c r="D178" s="6" t="inlineStr">
        <is>
          <t>1405/05/10</t>
        </is>
      </c>
      <c r="E178" s="9" t="n"/>
      <c r="F178" s="5" t="n">
        <v>2519</v>
      </c>
      <c r="G178" s="5" t="n">
        <v>1100100</v>
      </c>
      <c r="H178" s="6" t="inlineStr">
        <is>
          <t>PCB ICU</t>
        </is>
      </c>
      <c r="I178" s="6" t="inlineStr">
        <is>
          <t>عدد(شمارشی)</t>
        </is>
      </c>
      <c r="J178" s="5" t="n">
        <v>1</v>
      </c>
      <c r="K178" s="5" t="n">
        <v>1</v>
      </c>
      <c r="L178" s="6" t="inlineStr">
        <is>
          <t>-</t>
        </is>
      </c>
      <c r="M178" s="9" t="n"/>
      <c r="N178" s="9" t="n"/>
      <c r="O178" s="5" t="n">
        <v>100</v>
      </c>
      <c r="P178" s="6" t="inlineStr">
        <is>
          <t>مصرف مستقیم</t>
        </is>
      </c>
      <c r="Q178" s="5">
        <f>SUMIFS('ورودی برنامه'!$D$4:$D$16,'ورودی برنامه'!$A$4:$A$16,A178,'ورودی برنامه'!$C$4:$C$16,C178)</f>
        <v>2450</v>
      </c>
      <c r="R178" s="5">
        <f>SUMIFS('ورودی برنامه'!$E$4:$E$16,'ورودی برنامه'!$A$4:$A$16,A178,'ورودی برنامه'!$C$4:$C$16,C178)</f>
        <v>2400</v>
      </c>
      <c r="S178" s="5">
        <f>ROUND(Q178*J178/K178*O178/100,10)</f>
        <v>2450</v>
      </c>
      <c r="T178" s="5">
        <f>ROUND(R178*J178/K178*O178/100,10)</f>
        <v>2400</v>
      </c>
      <c r="U178" s="5" t="n">
        <v>2450</v>
      </c>
      <c r="V178" s="5" t="n">
        <v>2400</v>
      </c>
    </row>
    <row r="179" ht="20" customHeight="1">
      <c r="A179" s="10" t="n">
        <v>1201060</v>
      </c>
      <c r="B179" s="11" t="inlineStr">
        <is>
          <t>برد الکترونیکی ایموبلایزر EIM -مونتاژ ماشینی شده</t>
        </is>
      </c>
      <c r="C179" s="11" t="inlineStr">
        <is>
          <t>12010600100-01</t>
        </is>
      </c>
      <c r="D179" s="11" t="inlineStr">
        <is>
          <t>1405/05/10</t>
        </is>
      </c>
      <c r="E179" s="13" t="n"/>
      <c r="F179" s="10" t="n">
        <v>2586</v>
      </c>
      <c r="G179" s="10" t="n">
        <v>1110815</v>
      </c>
      <c r="H179" s="11" t="inlineStr">
        <is>
          <t>DIODE Zener 30V UDZS30B</t>
        </is>
      </c>
      <c r="I179" s="11" t="inlineStr">
        <is>
          <t>عدد(شمارشی)</t>
        </is>
      </c>
      <c r="J179" s="10" t="n">
        <v>1</v>
      </c>
      <c r="K179" s="10" t="n">
        <v>1</v>
      </c>
      <c r="L179" s="11" t="inlineStr">
        <is>
          <t>-</t>
        </is>
      </c>
      <c r="M179" s="13" t="n"/>
      <c r="N179" s="13" t="n"/>
      <c r="O179" s="10" t="n">
        <v>100</v>
      </c>
      <c r="P179" s="11" t="inlineStr">
        <is>
          <t>مصرف مستقیم</t>
        </is>
      </c>
      <c r="Q179" s="10">
        <f>SUMIFS('ورودی برنامه'!$D$4:$D$16,'ورودی برنامه'!$A$4:$A$16,A179,'ورودی برنامه'!$C$4:$C$16,C179)</f>
        <v>2450</v>
      </c>
      <c r="R179" s="10">
        <f>SUMIFS('ورودی برنامه'!$E$4:$E$16,'ورودی برنامه'!$A$4:$A$16,A179,'ورودی برنامه'!$C$4:$C$16,C179)</f>
        <v>2400</v>
      </c>
      <c r="S179" s="10">
        <f>ROUND(Q179*J179/K179*O179/100,10)</f>
        <v>2450</v>
      </c>
      <c r="T179" s="10">
        <f>ROUND(R179*J179/K179*O179/100,10)</f>
        <v>2400</v>
      </c>
      <c r="U179" s="10" t="n">
        <v>2450</v>
      </c>
      <c r="V179" s="10" t="n">
        <v>2400</v>
      </c>
    </row>
    <row r="180" ht="20" customHeight="1">
      <c r="A180" s="5" t="n">
        <v>1201060</v>
      </c>
      <c r="B180" s="6" t="inlineStr">
        <is>
          <t>برد الکترونیکی ایموبلایزر EIM -مونتاژ ماشینی شده</t>
        </is>
      </c>
      <c r="C180" s="6" t="inlineStr">
        <is>
          <t>12010600100-01</t>
        </is>
      </c>
      <c r="D180" s="6" t="inlineStr">
        <is>
          <t>1405/05/10</t>
        </is>
      </c>
      <c r="E180" s="9" t="n"/>
      <c r="F180" s="5" t="n">
        <v>11181</v>
      </c>
      <c r="G180" s="5" t="n">
        <v>1110282</v>
      </c>
      <c r="H180" s="6" t="inlineStr">
        <is>
          <t>Resistor 1K,5%,1/8W</t>
        </is>
      </c>
      <c r="I180" s="6" t="inlineStr">
        <is>
          <t>عدد</t>
        </is>
      </c>
      <c r="J180" s="5" t="n">
        <v>3</v>
      </c>
      <c r="K180" s="5" t="n">
        <v>1</v>
      </c>
      <c r="L180" s="6" t="inlineStr">
        <is>
          <t>-</t>
        </is>
      </c>
      <c r="M180" s="9" t="n"/>
      <c r="N180" s="9" t="n"/>
      <c r="O180" s="5" t="n">
        <v>100</v>
      </c>
      <c r="P180" s="6" t="inlineStr">
        <is>
          <t>مصرف مستقیم</t>
        </is>
      </c>
      <c r="Q180" s="5">
        <f>SUMIFS('ورودی برنامه'!$D$4:$D$16,'ورودی برنامه'!$A$4:$A$16,A180,'ورودی برنامه'!$C$4:$C$16,C180)</f>
        <v>2450</v>
      </c>
      <c r="R180" s="5">
        <f>SUMIFS('ورودی برنامه'!$E$4:$E$16,'ورودی برنامه'!$A$4:$A$16,A180,'ورودی برنامه'!$C$4:$C$16,C180)</f>
        <v>2400</v>
      </c>
      <c r="S180" s="5">
        <f>ROUND(Q180*J180/K180*O180/100,10)</f>
        <v>7350</v>
      </c>
      <c r="T180" s="5">
        <f>ROUND(R180*J180/K180*O180/100,10)</f>
        <v>7200</v>
      </c>
      <c r="U180" s="5" t="n">
        <v>7350</v>
      </c>
      <c r="V180" s="5" t="n">
        <v>7200</v>
      </c>
    </row>
    <row r="181" ht="20" customHeight="1">
      <c r="A181" s="10" t="n">
        <v>1201060</v>
      </c>
      <c r="B181" s="11" t="inlineStr">
        <is>
          <t>برد الکترونیکی ایموبلایزر EIM -مونتاژ ماشینی شده</t>
        </is>
      </c>
      <c r="C181" s="11" t="inlineStr">
        <is>
          <t>12010600100-01</t>
        </is>
      </c>
      <c r="D181" s="11" t="inlineStr">
        <is>
          <t>1405/05/10</t>
        </is>
      </c>
      <c r="E181" s="13" t="n"/>
      <c r="F181" s="10" t="n">
        <v>12427</v>
      </c>
      <c r="G181" s="10" t="n">
        <v>1110334</v>
      </c>
      <c r="H181" s="11" t="inlineStr">
        <is>
          <t>Resistor 100K,5%,1/8W</t>
        </is>
      </c>
      <c r="I181" s="11" t="inlineStr">
        <is>
          <t>عدد</t>
        </is>
      </c>
      <c r="J181" s="10" t="n">
        <v>3</v>
      </c>
      <c r="K181" s="10" t="n">
        <v>1</v>
      </c>
      <c r="L181" s="11" t="inlineStr">
        <is>
          <t>-</t>
        </is>
      </c>
      <c r="M181" s="13" t="n"/>
      <c r="N181" s="13" t="n"/>
      <c r="O181" s="10" t="n">
        <v>100</v>
      </c>
      <c r="P181" s="11" t="inlineStr">
        <is>
          <t>مصرف مستقیم</t>
        </is>
      </c>
      <c r="Q181" s="10">
        <f>SUMIFS('ورودی برنامه'!$D$4:$D$16,'ورودی برنامه'!$A$4:$A$16,A181,'ورودی برنامه'!$C$4:$C$16,C181)</f>
        <v>2450</v>
      </c>
      <c r="R181" s="10">
        <f>SUMIFS('ورودی برنامه'!$E$4:$E$16,'ورودی برنامه'!$A$4:$A$16,A181,'ورودی برنامه'!$C$4:$C$16,C181)</f>
        <v>2400</v>
      </c>
      <c r="S181" s="10">
        <f>ROUND(Q181*J181/K181*O181/100,10)</f>
        <v>7350</v>
      </c>
      <c r="T181" s="10">
        <f>ROUND(R181*J181/K181*O181/100,10)</f>
        <v>7200</v>
      </c>
      <c r="U181" s="10" t="n">
        <v>7350</v>
      </c>
      <c r="V181" s="10" t="n">
        <v>7200</v>
      </c>
    </row>
    <row r="182" ht="20" customHeight="1">
      <c r="A182" s="5" t="n">
        <v>1201060</v>
      </c>
      <c r="B182" s="6" t="inlineStr">
        <is>
          <t>برد الکترونیکی ایموبلایزر EIM -مونتاژ ماشینی شده</t>
        </is>
      </c>
      <c r="C182" s="6" t="inlineStr">
        <is>
          <t>12010600100-01</t>
        </is>
      </c>
      <c r="D182" s="6" t="inlineStr">
        <is>
          <t>1405/05/10</t>
        </is>
      </c>
      <c r="E182" s="9" t="n"/>
      <c r="F182" s="5" t="n">
        <v>14265</v>
      </c>
      <c r="G182" s="5" t="n">
        <v>1110311</v>
      </c>
      <c r="H182" s="6" t="inlineStr">
        <is>
          <t>Resistor 10K,5%,1/8W</t>
        </is>
      </c>
      <c r="I182" s="6" t="inlineStr">
        <is>
          <t>عدد</t>
        </is>
      </c>
      <c r="J182" s="5" t="n">
        <v>3</v>
      </c>
      <c r="K182" s="5" t="n">
        <v>1</v>
      </c>
      <c r="L182" s="6" t="inlineStr">
        <is>
          <t>-</t>
        </is>
      </c>
      <c r="M182" s="9" t="n"/>
      <c r="N182" s="9" t="n"/>
      <c r="O182" s="5" t="n">
        <v>100</v>
      </c>
      <c r="P182" s="6" t="inlineStr">
        <is>
          <t>مصرف مستقیم</t>
        </is>
      </c>
      <c r="Q182" s="5">
        <f>SUMIFS('ورودی برنامه'!$D$4:$D$16,'ورودی برنامه'!$A$4:$A$16,A182,'ورودی برنامه'!$C$4:$C$16,C182)</f>
        <v>2450</v>
      </c>
      <c r="R182" s="5">
        <f>SUMIFS('ورودی برنامه'!$E$4:$E$16,'ورودی برنامه'!$A$4:$A$16,A182,'ورودی برنامه'!$C$4:$C$16,C182)</f>
        <v>2400</v>
      </c>
      <c r="S182" s="5">
        <f>ROUND(Q182*J182/K182*O182/100,10)</f>
        <v>7350</v>
      </c>
      <c r="T182" s="5">
        <f>ROUND(R182*J182/K182*O182/100,10)</f>
        <v>7200</v>
      </c>
      <c r="U182" s="5" t="n">
        <v>7350</v>
      </c>
      <c r="V182" s="5" t="n">
        <v>7200</v>
      </c>
    </row>
    <row r="183" ht="20" customHeight="1">
      <c r="A183" s="10" t="n">
        <v>1201060</v>
      </c>
      <c r="B183" s="11" t="inlineStr">
        <is>
          <t>برد الکترونیکی ایموبلایزر EIM -مونتاژ ماشینی شده</t>
        </is>
      </c>
      <c r="C183" s="11" t="inlineStr">
        <is>
          <t>12010600100-01</t>
        </is>
      </c>
      <c r="D183" s="11" t="inlineStr">
        <is>
          <t>1405/05/10</t>
        </is>
      </c>
      <c r="E183" s="13" t="n"/>
      <c r="F183" s="10" t="n">
        <v>14844</v>
      </c>
      <c r="G183" s="10" t="n">
        <v>1110454</v>
      </c>
      <c r="H183" s="11" t="inlineStr">
        <is>
          <t>IC CAN tranceiver TJA1040T</t>
        </is>
      </c>
      <c r="I183" s="11" t="inlineStr">
        <is>
          <t>عدد</t>
        </is>
      </c>
      <c r="J183" s="10" t="n">
        <v>1</v>
      </c>
      <c r="K183" s="10" t="n">
        <v>1</v>
      </c>
      <c r="L183" s="11" t="inlineStr">
        <is>
          <t>1</t>
        </is>
      </c>
      <c r="M183" s="10" t="n">
        <v>1</v>
      </c>
      <c r="N183" s="10" t="n">
        <v>50</v>
      </c>
      <c r="O183" s="10">
        <f>N183</f>
        <v>50</v>
      </c>
      <c r="P183" s="11" t="inlineStr">
        <is>
          <t>سهم درصد استفاده BOM</t>
        </is>
      </c>
      <c r="Q183" s="10">
        <f>SUMIFS('ورودی برنامه'!$D$4:$D$16,'ورودی برنامه'!$A$4:$A$16,A183,'ورودی برنامه'!$C$4:$C$16,C183)</f>
        <v>2450</v>
      </c>
      <c r="R183" s="10">
        <f>SUMIFS('ورودی برنامه'!$E$4:$E$16,'ورودی برنامه'!$A$4:$A$16,A183,'ورودی برنامه'!$C$4:$C$16,C183)</f>
        <v>2400</v>
      </c>
      <c r="S183" s="10">
        <f>ROUND(Q183*J183/K183*O183/100,10)</f>
        <v>1225</v>
      </c>
      <c r="T183" s="10">
        <f>ROUND(R183*J183/K183*O183/100,10)</f>
        <v>1200</v>
      </c>
      <c r="U183" s="10" t="n">
        <v>0</v>
      </c>
      <c r="V183" s="10" t="n">
        <v>0</v>
      </c>
    </row>
    <row r="184" ht="20" customHeight="1">
      <c r="A184" s="5" t="n">
        <v>1201060</v>
      </c>
      <c r="B184" s="6" t="inlineStr">
        <is>
          <t>برد الکترونیکی ایموبلایزر EIM -مونتاژ ماشینی شده</t>
        </is>
      </c>
      <c r="C184" s="6" t="inlineStr">
        <is>
          <t>12010600100-01</t>
        </is>
      </c>
      <c r="D184" s="6" t="inlineStr">
        <is>
          <t>1405/05/10</t>
        </is>
      </c>
      <c r="E184" s="9" t="n"/>
      <c r="F184" s="5" t="n">
        <v>16694</v>
      </c>
      <c r="G184" s="5" t="n">
        <v>1110364</v>
      </c>
      <c r="H184" s="6" t="inlineStr">
        <is>
          <t>Resistor 1.8K,5%,1/4W</t>
        </is>
      </c>
      <c r="I184" s="6" t="inlineStr">
        <is>
          <t>عدد</t>
        </is>
      </c>
      <c r="J184" s="5" t="n">
        <v>1</v>
      </c>
      <c r="K184" s="5" t="n">
        <v>1</v>
      </c>
      <c r="L184" s="6" t="inlineStr">
        <is>
          <t>-</t>
        </is>
      </c>
      <c r="M184" s="9" t="n"/>
      <c r="N184" s="9" t="n"/>
      <c r="O184" s="5" t="n">
        <v>100</v>
      </c>
      <c r="P184" s="6" t="inlineStr">
        <is>
          <t>مصرف مستقیم</t>
        </is>
      </c>
      <c r="Q184" s="5">
        <f>SUMIFS('ورودی برنامه'!$D$4:$D$16,'ورودی برنامه'!$A$4:$A$16,A184,'ورودی برنامه'!$C$4:$C$16,C184)</f>
        <v>2450</v>
      </c>
      <c r="R184" s="5">
        <f>SUMIFS('ورودی برنامه'!$E$4:$E$16,'ورودی برنامه'!$A$4:$A$16,A184,'ورودی برنامه'!$C$4:$C$16,C184)</f>
        <v>2400</v>
      </c>
      <c r="S184" s="5">
        <f>ROUND(Q184*J184/K184*O184/100,10)</f>
        <v>2450</v>
      </c>
      <c r="T184" s="5">
        <f>ROUND(R184*J184/K184*O184/100,10)</f>
        <v>2400</v>
      </c>
      <c r="U184" s="5" t="n">
        <v>2450</v>
      </c>
      <c r="V184" s="5" t="n">
        <v>2400</v>
      </c>
    </row>
    <row r="185" ht="20" customHeight="1">
      <c r="A185" s="10" t="n">
        <v>1201060</v>
      </c>
      <c r="B185" s="11" t="inlineStr">
        <is>
          <t>برد الکترونیکی ایموبلایزر EIM -مونتاژ ماشینی شده</t>
        </is>
      </c>
      <c r="C185" s="11" t="inlineStr">
        <is>
          <t>12010600100-01</t>
        </is>
      </c>
      <c r="D185" s="11" t="inlineStr">
        <is>
          <t>1405/05/10</t>
        </is>
      </c>
      <c r="E185" s="13" t="n"/>
      <c r="F185" s="10" t="n">
        <v>25024</v>
      </c>
      <c r="G185" s="10" t="n">
        <v>1110460</v>
      </c>
      <c r="H185" s="11" t="inlineStr">
        <is>
          <t>IC CAN Transceiver TJA1042T</t>
        </is>
      </c>
      <c r="I185" s="11" t="inlineStr">
        <is>
          <t>عدد</t>
        </is>
      </c>
      <c r="J185" s="10" t="n">
        <v>1</v>
      </c>
      <c r="K185" s="10" t="n">
        <v>1</v>
      </c>
      <c r="L185" s="11" t="inlineStr">
        <is>
          <t>1</t>
        </is>
      </c>
      <c r="M185" s="10" t="n">
        <v>2</v>
      </c>
      <c r="N185" s="10" t="n">
        <v>50</v>
      </c>
      <c r="O185" s="10">
        <f>N185</f>
        <v>50</v>
      </c>
      <c r="P185" s="11" t="inlineStr">
        <is>
          <t>سهم درصد استفاده BOM</t>
        </is>
      </c>
      <c r="Q185" s="10">
        <f>SUMIFS('ورودی برنامه'!$D$4:$D$16,'ورودی برنامه'!$A$4:$A$16,A185,'ورودی برنامه'!$C$4:$C$16,C185)</f>
        <v>2450</v>
      </c>
      <c r="R185" s="10">
        <f>SUMIFS('ورودی برنامه'!$E$4:$E$16,'ورودی برنامه'!$A$4:$A$16,A185,'ورودی برنامه'!$C$4:$C$16,C185)</f>
        <v>2400</v>
      </c>
      <c r="S185" s="10">
        <f>ROUND(Q185*J185/K185*O185/100,10)</f>
        <v>1225</v>
      </c>
      <c r="T185" s="10">
        <f>ROUND(R185*J185/K185*O185/100,10)</f>
        <v>1200</v>
      </c>
      <c r="U185" s="10" t="n">
        <v>2450</v>
      </c>
      <c r="V185" s="10" t="n">
        <v>2400</v>
      </c>
    </row>
    <row r="186" ht="20" customHeight="1">
      <c r="A186" s="5" t="n">
        <v>1201060</v>
      </c>
      <c r="B186" s="6" t="inlineStr">
        <is>
          <t>برد الکترونیکی ایموبلایزر EIM -مونتاژ ماشینی شده</t>
        </is>
      </c>
      <c r="C186" s="6" t="inlineStr">
        <is>
          <t>12010600100-01</t>
        </is>
      </c>
      <c r="D186" s="6" t="inlineStr">
        <is>
          <t>1405/05/10</t>
        </is>
      </c>
      <c r="E186" s="9" t="n"/>
      <c r="F186" s="5" t="n">
        <v>38604</v>
      </c>
      <c r="G186" s="5" t="n">
        <v>1110177</v>
      </c>
      <c r="H186" s="6" t="inlineStr">
        <is>
          <t>Capacitor 220µF 35V Aluminum Electrolytic</t>
        </is>
      </c>
      <c r="I186" s="6" t="inlineStr">
        <is>
          <t>عدد</t>
        </is>
      </c>
      <c r="J186" s="5" t="n">
        <v>1</v>
      </c>
      <c r="K186" s="5" t="n">
        <v>1</v>
      </c>
      <c r="L186" s="6" t="inlineStr">
        <is>
          <t>-</t>
        </is>
      </c>
      <c r="M186" s="9" t="n"/>
      <c r="N186" s="9" t="n"/>
      <c r="O186" s="5" t="n">
        <v>100</v>
      </c>
      <c r="P186" s="6" t="inlineStr">
        <is>
          <t>مصرف مستقیم</t>
        </is>
      </c>
      <c r="Q186" s="5">
        <f>SUMIFS('ورودی برنامه'!$D$4:$D$16,'ورودی برنامه'!$A$4:$A$16,A186,'ورودی برنامه'!$C$4:$C$16,C186)</f>
        <v>2450</v>
      </c>
      <c r="R186" s="5">
        <f>SUMIFS('ورودی برنامه'!$E$4:$E$16,'ورودی برنامه'!$A$4:$A$16,A186,'ورودی برنامه'!$C$4:$C$16,C186)</f>
        <v>2400</v>
      </c>
      <c r="S186" s="5">
        <f>ROUND(Q186*J186/K186*O186/100,10)</f>
        <v>2450</v>
      </c>
      <c r="T186" s="5">
        <f>ROUND(R186*J186/K186*O186/100,10)</f>
        <v>2400</v>
      </c>
      <c r="U186" s="5" t="n">
        <v>2450</v>
      </c>
      <c r="V186" s="5" t="n">
        <v>2400</v>
      </c>
    </row>
    <row r="187" ht="20" customHeight="1">
      <c r="A187" s="10" t="n">
        <v>1201060</v>
      </c>
      <c r="B187" s="11" t="inlineStr">
        <is>
          <t>برد الکترونیکی ایموبلایزر EIM -مونتاژ ماشینی شده</t>
        </is>
      </c>
      <c r="C187" s="11" t="inlineStr">
        <is>
          <t>12010600100-01</t>
        </is>
      </c>
      <c r="D187" s="11" t="inlineStr">
        <is>
          <t>1405/05/10</t>
        </is>
      </c>
      <c r="E187" s="13" t="n"/>
      <c r="F187" s="10" t="n">
        <v>39421</v>
      </c>
      <c r="G187" s="10" t="n">
        <v>1111017</v>
      </c>
      <c r="H187" s="11" t="inlineStr">
        <is>
          <t>Crystal 8.000MHZ ,-40°C to 125 °C</t>
        </is>
      </c>
      <c r="I187" s="11" t="inlineStr">
        <is>
          <t>عدد</t>
        </is>
      </c>
      <c r="J187" s="10" t="n">
        <v>1</v>
      </c>
      <c r="K187" s="10" t="n">
        <v>1</v>
      </c>
      <c r="L187" s="11" t="inlineStr">
        <is>
          <t>-</t>
        </is>
      </c>
      <c r="M187" s="13" t="n"/>
      <c r="N187" s="13" t="n"/>
      <c r="O187" s="10" t="n">
        <v>100</v>
      </c>
      <c r="P187" s="11" t="inlineStr">
        <is>
          <t>مصرف مستقیم</t>
        </is>
      </c>
      <c r="Q187" s="10">
        <f>SUMIFS('ورودی برنامه'!$D$4:$D$16,'ورودی برنامه'!$A$4:$A$16,A187,'ورودی برنامه'!$C$4:$C$16,C187)</f>
        <v>2450</v>
      </c>
      <c r="R187" s="10">
        <f>SUMIFS('ورودی برنامه'!$E$4:$E$16,'ورودی برنامه'!$A$4:$A$16,A187,'ورودی برنامه'!$C$4:$C$16,C187)</f>
        <v>2400</v>
      </c>
      <c r="S187" s="10">
        <f>ROUND(Q187*J187/K187*O187/100,10)</f>
        <v>2450</v>
      </c>
      <c r="T187" s="10">
        <f>ROUND(R187*J187/K187*O187/100,10)</f>
        <v>2400</v>
      </c>
      <c r="U187" s="10" t="n">
        <v>2450</v>
      </c>
      <c r="V187" s="10" t="n">
        <v>2400</v>
      </c>
    </row>
    <row r="188" ht="20" customHeight="1">
      <c r="A188" s="5" t="n">
        <v>1201060</v>
      </c>
      <c r="B188" s="6" t="inlineStr">
        <is>
          <t>برد الکترونیکی ایموبلایزر EIM -مونتاژ ماشینی شده</t>
        </is>
      </c>
      <c r="C188" s="6" t="inlineStr">
        <is>
          <t>12010600100-01</t>
        </is>
      </c>
      <c r="D188" s="6" t="inlineStr">
        <is>
          <t>1405/05/10</t>
        </is>
      </c>
      <c r="E188" s="9" t="n"/>
      <c r="F188" s="5" t="n">
        <v>39496</v>
      </c>
      <c r="G188" s="5" t="n">
        <v>1110544</v>
      </c>
      <c r="H188" s="6" t="inlineStr">
        <is>
          <t>Capacitor 27pF, 50V , 5% , C0G</t>
        </is>
      </c>
      <c r="I188" s="6" t="inlineStr">
        <is>
          <t>عدد</t>
        </is>
      </c>
      <c r="J188" s="5" t="n">
        <v>2</v>
      </c>
      <c r="K188" s="5" t="n">
        <v>1</v>
      </c>
      <c r="L188" s="6" t="inlineStr">
        <is>
          <t>-</t>
        </is>
      </c>
      <c r="M188" s="9" t="n"/>
      <c r="N188" s="9" t="n"/>
      <c r="O188" s="5" t="n">
        <v>100</v>
      </c>
      <c r="P188" s="6" t="inlineStr">
        <is>
          <t>مصرف مستقیم</t>
        </is>
      </c>
      <c r="Q188" s="5">
        <f>SUMIFS('ورودی برنامه'!$D$4:$D$16,'ورودی برنامه'!$A$4:$A$16,A188,'ورودی برنامه'!$C$4:$C$16,C188)</f>
        <v>2450</v>
      </c>
      <c r="R188" s="5">
        <f>SUMIFS('ورودی برنامه'!$E$4:$E$16,'ورودی برنامه'!$A$4:$A$16,A188,'ورودی برنامه'!$C$4:$C$16,C188)</f>
        <v>2400</v>
      </c>
      <c r="S188" s="5">
        <f>ROUND(Q188*J188/K188*O188/100,10)</f>
        <v>4900</v>
      </c>
      <c r="T188" s="5">
        <f>ROUND(R188*J188/K188*O188/100,10)</f>
        <v>4800</v>
      </c>
      <c r="U188" s="5" t="n">
        <v>4900</v>
      </c>
      <c r="V188" s="5" t="n">
        <v>4800</v>
      </c>
    </row>
    <row r="189" ht="20" customHeight="1">
      <c r="A189" s="10" t="n">
        <v>1201060</v>
      </c>
      <c r="B189" s="11" t="inlineStr">
        <is>
          <t>برد الکترونیکی ایموبلایزر EIM -مونتاژ ماشینی شده</t>
        </is>
      </c>
      <c r="C189" s="11" t="inlineStr">
        <is>
          <t>12010600100-01</t>
        </is>
      </c>
      <c r="D189" s="11" t="inlineStr">
        <is>
          <t>1405/05/10</t>
        </is>
      </c>
      <c r="E189" s="13" t="n"/>
      <c r="F189" s="10" t="n">
        <v>39526</v>
      </c>
      <c r="G189" s="10" t="n">
        <v>1110556</v>
      </c>
      <c r="H189" s="11" t="inlineStr">
        <is>
          <t>Capacitor Tantalium 10uF/16V,10%, -55°C to 125 °C</t>
        </is>
      </c>
      <c r="I189" s="11" t="inlineStr">
        <is>
          <t>عدد</t>
        </is>
      </c>
      <c r="J189" s="10" t="n">
        <v>2</v>
      </c>
      <c r="K189" s="10" t="n">
        <v>1</v>
      </c>
      <c r="L189" s="11" t="inlineStr">
        <is>
          <t>-</t>
        </is>
      </c>
      <c r="M189" s="13" t="n"/>
      <c r="N189" s="13" t="n"/>
      <c r="O189" s="10" t="n">
        <v>100</v>
      </c>
      <c r="P189" s="11" t="inlineStr">
        <is>
          <t>مصرف مستقیم</t>
        </is>
      </c>
      <c r="Q189" s="10">
        <f>SUMIFS('ورودی برنامه'!$D$4:$D$16,'ورودی برنامه'!$A$4:$A$16,A189,'ورودی برنامه'!$C$4:$C$16,C189)</f>
        <v>2450</v>
      </c>
      <c r="R189" s="10">
        <f>SUMIFS('ورودی برنامه'!$E$4:$E$16,'ورودی برنامه'!$A$4:$A$16,A189,'ورودی برنامه'!$C$4:$C$16,C189)</f>
        <v>2400</v>
      </c>
      <c r="S189" s="10">
        <f>ROUND(Q189*J189/K189*O189/100,10)</f>
        <v>4900</v>
      </c>
      <c r="T189" s="10">
        <f>ROUND(R189*J189/K189*O189/100,10)</f>
        <v>4800</v>
      </c>
      <c r="U189" s="10" t="n">
        <v>4900</v>
      </c>
      <c r="V189" s="10" t="n">
        <v>4800</v>
      </c>
    </row>
    <row r="190" ht="20" customHeight="1">
      <c r="A190" s="5" t="n">
        <v>1201605</v>
      </c>
      <c r="B190" s="6" t="inlineStr">
        <is>
          <t>جعبه الکترونیکی مونتاژ ماشینی شده NBCM_DENA_SBR-(BOT)</t>
        </is>
      </c>
      <c r="C190" s="6" t="inlineStr">
        <is>
          <t>13416020184</t>
        </is>
      </c>
      <c r="D190" s="6" t="inlineStr">
        <is>
          <t>1405/03/05</t>
        </is>
      </c>
      <c r="E190" s="9" t="n"/>
      <c r="F190" s="5" t="n">
        <v>4705</v>
      </c>
      <c r="G190" s="5" t="n">
        <v>1100464</v>
      </c>
      <c r="H190" s="6" t="inlineStr">
        <is>
          <t>PCB NBCM_F1L176_C3</t>
        </is>
      </c>
      <c r="I190" s="6" t="inlineStr">
        <is>
          <t>عدد(شمارشی)</t>
        </is>
      </c>
      <c r="J190" s="5" t="n">
        <v>1</v>
      </c>
      <c r="K190" s="5" t="n">
        <v>1</v>
      </c>
      <c r="L190" s="6" t="inlineStr">
        <is>
          <t>-</t>
        </is>
      </c>
      <c r="M190" s="9" t="n"/>
      <c r="N190" s="9" t="n"/>
      <c r="O190" s="5" t="n">
        <v>100</v>
      </c>
      <c r="P190" s="6" t="inlineStr">
        <is>
          <t>مصرف مستقیم</t>
        </is>
      </c>
      <c r="Q190" s="5">
        <f>SUMIFS('ورودی برنامه'!$D$4:$D$16,'ورودی برنامه'!$A$4:$A$16,A190,'ورودی برنامه'!$C$4:$C$16,C190)</f>
        <v>1460</v>
      </c>
      <c r="R190" s="5">
        <f>SUMIFS('ورودی برنامه'!$E$4:$E$16,'ورودی برنامه'!$A$4:$A$16,A190,'ورودی برنامه'!$C$4:$C$16,C190)</f>
        <v>1200</v>
      </c>
      <c r="S190" s="5">
        <f>ROUND(Q190*J190/K190*O190/100,10)</f>
        <v>1460</v>
      </c>
      <c r="T190" s="5">
        <f>ROUND(R190*J190/K190*O190/100,10)</f>
        <v>1200</v>
      </c>
      <c r="U190" s="5" t="n">
        <v>1460</v>
      </c>
      <c r="V190" s="5" t="n">
        <v>1200</v>
      </c>
    </row>
    <row r="191" ht="20" customHeight="1">
      <c r="A191" s="10" t="n">
        <v>1201605</v>
      </c>
      <c r="B191" s="11" t="inlineStr">
        <is>
          <t>جعبه الکترونیکی مونتاژ ماشینی شده NBCM_DENA_SBR-(BOT)</t>
        </is>
      </c>
      <c r="C191" s="11" t="inlineStr">
        <is>
          <t>13416020184</t>
        </is>
      </c>
      <c r="D191" s="11" t="inlineStr">
        <is>
          <t>1405/03/05</t>
        </is>
      </c>
      <c r="E191" s="13" t="n"/>
      <c r="F191" s="10" t="n">
        <v>6025</v>
      </c>
      <c r="G191" s="10" t="n">
        <v>1110303</v>
      </c>
      <c r="H191" s="11" t="inlineStr">
        <is>
          <t>Resistor 4.7K,5%,1/12W</t>
        </is>
      </c>
      <c r="I191" s="11" t="inlineStr">
        <is>
          <t>عدد</t>
        </is>
      </c>
      <c r="J191" s="10" t="n">
        <v>16</v>
      </c>
      <c r="K191" s="10" t="n">
        <v>1</v>
      </c>
      <c r="L191" s="11" t="inlineStr">
        <is>
          <t>-</t>
        </is>
      </c>
      <c r="M191" s="13" t="n"/>
      <c r="N191" s="13" t="n"/>
      <c r="O191" s="10" t="n">
        <v>100</v>
      </c>
      <c r="P191" s="11" t="inlineStr">
        <is>
          <t>مصرف مستقیم</t>
        </is>
      </c>
      <c r="Q191" s="10">
        <f>SUMIFS('ورودی برنامه'!$D$4:$D$16,'ورودی برنامه'!$A$4:$A$16,A191,'ورودی برنامه'!$C$4:$C$16,C191)</f>
        <v>1460</v>
      </c>
      <c r="R191" s="10">
        <f>SUMIFS('ورودی برنامه'!$E$4:$E$16,'ورودی برنامه'!$A$4:$A$16,A191,'ورودی برنامه'!$C$4:$C$16,C191)</f>
        <v>1200</v>
      </c>
      <c r="S191" s="10">
        <f>ROUND(Q191*J191/K191*O191/100,10)</f>
        <v>23360</v>
      </c>
      <c r="T191" s="10">
        <f>ROUND(R191*J191/K191*O191/100,10)</f>
        <v>19200</v>
      </c>
      <c r="U191" s="10" t="n">
        <v>23360</v>
      </c>
      <c r="V191" s="10" t="n">
        <v>19200</v>
      </c>
    </row>
    <row r="192" ht="20" customHeight="1">
      <c r="A192" s="5" t="n">
        <v>1201605</v>
      </c>
      <c r="B192" s="6" t="inlineStr">
        <is>
          <t>جعبه الکترونیکی مونتاژ ماشینی شده NBCM_DENA_SBR-(BOT)</t>
        </is>
      </c>
      <c r="C192" s="6" t="inlineStr">
        <is>
          <t>13416020184</t>
        </is>
      </c>
      <c r="D192" s="6" t="inlineStr">
        <is>
          <t>1405/03/05</t>
        </is>
      </c>
      <c r="E192" s="9" t="n"/>
      <c r="F192" s="5" t="n">
        <v>9303</v>
      </c>
      <c r="G192" s="5" t="n">
        <v>1110075</v>
      </c>
      <c r="H192" s="6" t="inlineStr">
        <is>
          <t>Capacitor 10N,50V,X7R,10%</t>
        </is>
      </c>
      <c r="I192" s="6" t="inlineStr">
        <is>
          <t>عدد</t>
        </is>
      </c>
      <c r="J192" s="5" t="n">
        <v>36</v>
      </c>
      <c r="K192" s="5" t="n">
        <v>1</v>
      </c>
      <c r="L192" s="6" t="inlineStr">
        <is>
          <t>-</t>
        </is>
      </c>
      <c r="M192" s="9" t="n"/>
      <c r="N192" s="9" t="n"/>
      <c r="O192" s="5" t="n">
        <v>100</v>
      </c>
      <c r="P192" s="6" t="inlineStr">
        <is>
          <t>مصرف مستقیم</t>
        </is>
      </c>
      <c r="Q192" s="5">
        <f>SUMIFS('ورودی برنامه'!$D$4:$D$16,'ورودی برنامه'!$A$4:$A$16,A192,'ورودی برنامه'!$C$4:$C$16,C192)</f>
        <v>1460</v>
      </c>
      <c r="R192" s="5">
        <f>SUMIFS('ورودی برنامه'!$E$4:$E$16,'ورودی برنامه'!$A$4:$A$16,A192,'ورودی برنامه'!$C$4:$C$16,C192)</f>
        <v>1200</v>
      </c>
      <c r="S192" s="5">
        <f>ROUND(Q192*J192/K192*O192/100,10)</f>
        <v>52560</v>
      </c>
      <c r="T192" s="5">
        <f>ROUND(R192*J192/K192*O192/100,10)</f>
        <v>43200</v>
      </c>
      <c r="U192" s="5" t="n">
        <v>52560</v>
      </c>
      <c r="V192" s="5" t="n">
        <v>43200</v>
      </c>
    </row>
    <row r="193" ht="20" customHeight="1">
      <c r="A193" s="10" t="n">
        <v>1201605</v>
      </c>
      <c r="B193" s="11" t="inlineStr">
        <is>
          <t>جعبه الکترونیکی مونتاژ ماشینی شده NBCM_DENA_SBR-(BOT)</t>
        </is>
      </c>
      <c r="C193" s="11" t="inlineStr">
        <is>
          <t>13416020184</t>
        </is>
      </c>
      <c r="D193" s="11" t="inlineStr">
        <is>
          <t>1405/03/05</t>
        </is>
      </c>
      <c r="E193" s="13" t="n"/>
      <c r="F193" s="10" t="n">
        <v>12766</v>
      </c>
      <c r="G193" s="10" t="n">
        <v>1110600</v>
      </c>
      <c r="H193" s="11" t="inlineStr">
        <is>
          <t>Transistor BC817-40</t>
        </is>
      </c>
      <c r="I193" s="11" t="inlineStr">
        <is>
          <t>عدد</t>
        </is>
      </c>
      <c r="J193" s="10" t="n">
        <v>5</v>
      </c>
      <c r="K193" s="10" t="n">
        <v>1</v>
      </c>
      <c r="L193" s="11" t="inlineStr">
        <is>
          <t>-</t>
        </is>
      </c>
      <c r="M193" s="13" t="n"/>
      <c r="N193" s="13" t="n"/>
      <c r="O193" s="10" t="n">
        <v>100</v>
      </c>
      <c r="P193" s="11" t="inlineStr">
        <is>
          <t>مصرف مستقیم</t>
        </is>
      </c>
      <c r="Q193" s="10">
        <f>SUMIFS('ورودی برنامه'!$D$4:$D$16,'ورودی برنامه'!$A$4:$A$16,A193,'ورودی برنامه'!$C$4:$C$16,C193)</f>
        <v>1460</v>
      </c>
      <c r="R193" s="10">
        <f>SUMIFS('ورودی برنامه'!$E$4:$E$16,'ورودی برنامه'!$A$4:$A$16,A193,'ورودی برنامه'!$C$4:$C$16,C193)</f>
        <v>1200</v>
      </c>
      <c r="S193" s="10">
        <f>ROUND(Q193*J193/K193*O193/100,10)</f>
        <v>7300</v>
      </c>
      <c r="T193" s="10">
        <f>ROUND(R193*J193/K193*O193/100,10)</f>
        <v>6000</v>
      </c>
      <c r="U193" s="10" t="n">
        <v>7300</v>
      </c>
      <c r="V193" s="10" t="n">
        <v>6000</v>
      </c>
    </row>
    <row r="194" ht="20" customHeight="1">
      <c r="A194" s="5" t="n">
        <v>1201605</v>
      </c>
      <c r="B194" s="6" t="inlineStr">
        <is>
          <t>جعبه الکترونیکی مونتاژ ماشینی شده NBCM_DENA_SBR-(BOT)</t>
        </is>
      </c>
      <c r="C194" s="6" t="inlineStr">
        <is>
          <t>13416020184</t>
        </is>
      </c>
      <c r="D194" s="6" t="inlineStr">
        <is>
          <t>1405/03/05</t>
        </is>
      </c>
      <c r="E194" s="9" t="n"/>
      <c r="F194" s="5" t="n">
        <v>12974</v>
      </c>
      <c r="G194" s="5" t="n">
        <v>1110604</v>
      </c>
      <c r="H194" s="6" t="inlineStr">
        <is>
          <t>Transistor BC807-40</t>
        </is>
      </c>
      <c r="I194" s="6" t="inlineStr">
        <is>
          <t>عدد</t>
        </is>
      </c>
      <c r="J194" s="5" t="n">
        <v>4</v>
      </c>
      <c r="K194" s="5" t="n">
        <v>1</v>
      </c>
      <c r="L194" s="6" t="inlineStr">
        <is>
          <t>-</t>
        </is>
      </c>
      <c r="M194" s="9" t="n"/>
      <c r="N194" s="9" t="n"/>
      <c r="O194" s="5" t="n">
        <v>100</v>
      </c>
      <c r="P194" s="6" t="inlineStr">
        <is>
          <t>مصرف مستقیم</t>
        </is>
      </c>
      <c r="Q194" s="5">
        <f>SUMIFS('ورودی برنامه'!$D$4:$D$16,'ورودی برنامه'!$A$4:$A$16,A194,'ورودی برنامه'!$C$4:$C$16,C194)</f>
        <v>1460</v>
      </c>
      <c r="R194" s="5">
        <f>SUMIFS('ورودی برنامه'!$E$4:$E$16,'ورودی برنامه'!$A$4:$A$16,A194,'ورودی برنامه'!$C$4:$C$16,C194)</f>
        <v>1200</v>
      </c>
      <c r="S194" s="5">
        <f>ROUND(Q194*J194/K194*O194/100,10)</f>
        <v>5840</v>
      </c>
      <c r="T194" s="5">
        <f>ROUND(R194*J194/K194*O194/100,10)</f>
        <v>4800</v>
      </c>
      <c r="U194" s="5" t="n">
        <v>5840</v>
      </c>
      <c r="V194" s="5" t="n">
        <v>4800</v>
      </c>
    </row>
    <row r="195" ht="20" customHeight="1">
      <c r="A195" s="10" t="n">
        <v>1201605</v>
      </c>
      <c r="B195" s="11" t="inlineStr">
        <is>
          <t>جعبه الکترونیکی مونتاژ ماشینی شده NBCM_DENA_SBR-(BOT)</t>
        </is>
      </c>
      <c r="C195" s="11" t="inlineStr">
        <is>
          <t>13416020184</t>
        </is>
      </c>
      <c r="D195" s="11" t="inlineStr">
        <is>
          <t>1405/03/05</t>
        </is>
      </c>
      <c r="E195" s="13" t="n"/>
      <c r="F195" s="10" t="n">
        <v>15346</v>
      </c>
      <c r="G195" s="10" t="n">
        <v>1110401</v>
      </c>
      <c r="H195" s="11" t="inlineStr">
        <is>
          <t>IC ULQ2003D1013TRY</t>
        </is>
      </c>
      <c r="I195" s="11" t="inlineStr">
        <is>
          <t>عدد</t>
        </is>
      </c>
      <c r="J195" s="10" t="n">
        <v>1</v>
      </c>
      <c r="K195" s="10" t="n">
        <v>1</v>
      </c>
      <c r="L195" s="11" t="inlineStr">
        <is>
          <t>-</t>
        </is>
      </c>
      <c r="M195" s="13" t="n"/>
      <c r="N195" s="13" t="n"/>
      <c r="O195" s="10" t="n">
        <v>100</v>
      </c>
      <c r="P195" s="11" t="inlineStr">
        <is>
          <t>مصرف مستقیم</t>
        </is>
      </c>
      <c r="Q195" s="10">
        <f>SUMIFS('ورودی برنامه'!$D$4:$D$16,'ورودی برنامه'!$A$4:$A$16,A195,'ورودی برنامه'!$C$4:$C$16,C195)</f>
        <v>1460</v>
      </c>
      <c r="R195" s="10">
        <f>SUMIFS('ورودی برنامه'!$E$4:$E$16,'ورودی برنامه'!$A$4:$A$16,A195,'ورودی برنامه'!$C$4:$C$16,C195)</f>
        <v>1200</v>
      </c>
      <c r="S195" s="10">
        <f>ROUND(Q195*J195/K195*O195/100,10)</f>
        <v>1460</v>
      </c>
      <c r="T195" s="10">
        <f>ROUND(R195*J195/K195*O195/100,10)</f>
        <v>1200</v>
      </c>
      <c r="U195" s="10" t="n">
        <v>1460</v>
      </c>
      <c r="V195" s="10" t="n">
        <v>1200</v>
      </c>
    </row>
    <row r="196" ht="20" customHeight="1">
      <c r="A196" s="5" t="n">
        <v>1201605</v>
      </c>
      <c r="B196" s="6" t="inlineStr">
        <is>
          <t>جعبه الکترونیکی مونتاژ ماشینی شده NBCM_DENA_SBR-(BOT)</t>
        </is>
      </c>
      <c r="C196" s="6" t="inlineStr">
        <is>
          <t>13416020184</t>
        </is>
      </c>
      <c r="D196" s="6" t="inlineStr">
        <is>
          <t>1405/03/05</t>
        </is>
      </c>
      <c r="E196" s="9" t="n"/>
      <c r="F196" s="5" t="n">
        <v>15837</v>
      </c>
      <c r="G196" s="5" t="n">
        <v>1110337</v>
      </c>
      <c r="H196" s="6" t="inlineStr">
        <is>
          <t>Resistor 22K,5%,1/12W</t>
        </is>
      </c>
      <c r="I196" s="6" t="inlineStr">
        <is>
          <t>عدد</t>
        </is>
      </c>
      <c r="J196" s="5" t="n">
        <v>35</v>
      </c>
      <c r="K196" s="5" t="n">
        <v>1</v>
      </c>
      <c r="L196" s="6" t="inlineStr">
        <is>
          <t>5</t>
        </is>
      </c>
      <c r="M196" s="5" t="n">
        <v>1</v>
      </c>
      <c r="N196" s="5" t="n">
        <v>50</v>
      </c>
      <c r="O196" s="5">
        <f>N196</f>
        <v>50</v>
      </c>
      <c r="P196" s="6" t="inlineStr">
        <is>
          <t>سهم درصد استفاده BOM</t>
        </is>
      </c>
      <c r="Q196" s="5">
        <f>SUMIFS('ورودی برنامه'!$D$4:$D$16,'ورودی برنامه'!$A$4:$A$16,A196,'ورودی برنامه'!$C$4:$C$16,C196)</f>
        <v>1460</v>
      </c>
      <c r="R196" s="5">
        <f>SUMIFS('ورودی برنامه'!$E$4:$E$16,'ورودی برنامه'!$A$4:$A$16,A196,'ورودی برنامه'!$C$4:$C$16,C196)</f>
        <v>1200</v>
      </c>
      <c r="S196" s="5">
        <f>ROUND(Q196*J196/K196*O196/100,10)</f>
        <v>25550</v>
      </c>
      <c r="T196" s="5">
        <f>ROUND(R196*J196/K196*O196/100,10)</f>
        <v>21000</v>
      </c>
      <c r="U196" s="5" t="n">
        <v>51100</v>
      </c>
      <c r="V196" s="5" t="n">
        <v>42000</v>
      </c>
    </row>
    <row r="197" ht="20" customHeight="1">
      <c r="A197" s="10" t="n">
        <v>1201605</v>
      </c>
      <c r="B197" s="11" t="inlineStr">
        <is>
          <t>جعبه الکترونیکی مونتاژ ماشینی شده NBCM_DENA_SBR-(BOT)</t>
        </is>
      </c>
      <c r="C197" s="11" t="inlineStr">
        <is>
          <t>13416020184</t>
        </is>
      </c>
      <c r="D197" s="11" t="inlineStr">
        <is>
          <t>1405/03/05</t>
        </is>
      </c>
      <c r="E197" s="13" t="n"/>
      <c r="F197" s="10" t="n">
        <v>17285</v>
      </c>
      <c r="G197" s="10" t="n">
        <v>1110630</v>
      </c>
      <c r="H197" s="11" t="inlineStr">
        <is>
          <t>ESD Protection</t>
        </is>
      </c>
      <c r="I197" s="11" t="inlineStr">
        <is>
          <t>عدد</t>
        </is>
      </c>
      <c r="J197" s="10" t="n">
        <v>1</v>
      </c>
      <c r="K197" s="10" t="n">
        <v>1</v>
      </c>
      <c r="L197" s="11" t="inlineStr">
        <is>
          <t>-</t>
        </is>
      </c>
      <c r="M197" s="13" t="n"/>
      <c r="N197" s="13" t="n"/>
      <c r="O197" s="10" t="n">
        <v>100</v>
      </c>
      <c r="P197" s="11" t="inlineStr">
        <is>
          <t>مصرف مستقیم</t>
        </is>
      </c>
      <c r="Q197" s="10">
        <f>SUMIFS('ورودی برنامه'!$D$4:$D$16,'ورودی برنامه'!$A$4:$A$16,A197,'ورودی برنامه'!$C$4:$C$16,C197)</f>
        <v>1460</v>
      </c>
      <c r="R197" s="10">
        <f>SUMIFS('ورودی برنامه'!$E$4:$E$16,'ورودی برنامه'!$A$4:$A$16,A197,'ورودی برنامه'!$C$4:$C$16,C197)</f>
        <v>1200</v>
      </c>
      <c r="S197" s="10">
        <f>ROUND(Q197*J197/K197*O197/100,10)</f>
        <v>1460</v>
      </c>
      <c r="T197" s="10">
        <f>ROUND(R197*J197/K197*O197/100,10)</f>
        <v>1200</v>
      </c>
      <c r="U197" s="10" t="n">
        <v>1460</v>
      </c>
      <c r="V197" s="10" t="n">
        <v>1200</v>
      </c>
    </row>
    <row r="198" ht="20" customHeight="1">
      <c r="A198" s="5" t="n">
        <v>1201605</v>
      </c>
      <c r="B198" s="6" t="inlineStr">
        <is>
          <t>جعبه الکترونیکی مونتاژ ماشینی شده NBCM_DENA_SBR-(BOT)</t>
        </is>
      </c>
      <c r="C198" s="6" t="inlineStr">
        <is>
          <t>13416020184</t>
        </is>
      </c>
      <c r="D198" s="6" t="inlineStr">
        <is>
          <t>1405/03/05</t>
        </is>
      </c>
      <c r="E198" s="9" t="n"/>
      <c r="F198" s="5" t="n">
        <v>18518</v>
      </c>
      <c r="G198" s="5" t="n">
        <v>1110279</v>
      </c>
      <c r="H198" s="6" t="inlineStr">
        <is>
          <t>Resistor 1.4K,1%,1/4W</t>
        </is>
      </c>
      <c r="I198" s="6" t="inlineStr">
        <is>
          <t>عدد</t>
        </is>
      </c>
      <c r="J198" s="5" t="n">
        <v>39</v>
      </c>
      <c r="K198" s="5" t="n">
        <v>1</v>
      </c>
      <c r="L198" s="6" t="inlineStr">
        <is>
          <t>-</t>
        </is>
      </c>
      <c r="M198" s="9" t="n"/>
      <c r="N198" s="9" t="n"/>
      <c r="O198" s="5" t="n">
        <v>100</v>
      </c>
      <c r="P198" s="6" t="inlineStr">
        <is>
          <t>مصرف مستقیم</t>
        </is>
      </c>
      <c r="Q198" s="5">
        <f>SUMIFS('ورودی برنامه'!$D$4:$D$16,'ورودی برنامه'!$A$4:$A$16,A198,'ورودی برنامه'!$C$4:$C$16,C198)</f>
        <v>1460</v>
      </c>
      <c r="R198" s="5">
        <f>SUMIFS('ورودی برنامه'!$E$4:$E$16,'ورودی برنامه'!$A$4:$A$16,A198,'ورودی برنامه'!$C$4:$C$16,C198)</f>
        <v>1200</v>
      </c>
      <c r="S198" s="5">
        <f>ROUND(Q198*J198/K198*O198/100,10)</f>
        <v>56940</v>
      </c>
      <c r="T198" s="5">
        <f>ROUND(R198*J198/K198*O198/100,10)</f>
        <v>46800</v>
      </c>
      <c r="U198" s="5" t="n">
        <v>56940</v>
      </c>
      <c r="V198" s="5" t="n">
        <v>46800</v>
      </c>
    </row>
    <row r="199" ht="20" customHeight="1">
      <c r="A199" s="10" t="n">
        <v>1201605</v>
      </c>
      <c r="B199" s="11" t="inlineStr">
        <is>
          <t>جعبه الکترونیکی مونتاژ ماشینی شده NBCM_DENA_SBR-(BOT)</t>
        </is>
      </c>
      <c r="C199" s="11" t="inlineStr">
        <is>
          <t>13416020184</t>
        </is>
      </c>
      <c r="D199" s="11" t="inlineStr">
        <is>
          <t>1405/03/05</t>
        </is>
      </c>
      <c r="E199" s="13" t="n"/>
      <c r="F199" s="10" t="n">
        <v>23961</v>
      </c>
      <c r="G199" s="10" t="n">
        <v>1110388</v>
      </c>
      <c r="H199" s="11" t="inlineStr">
        <is>
          <t>Resistor 100K,1%,1/10W</t>
        </is>
      </c>
      <c r="I199" s="11" t="inlineStr">
        <is>
          <t>عدد</t>
        </is>
      </c>
      <c r="J199" s="10" t="n">
        <v>1</v>
      </c>
      <c r="K199" s="10" t="n">
        <v>1</v>
      </c>
      <c r="L199" s="11" t="inlineStr">
        <is>
          <t>-</t>
        </is>
      </c>
      <c r="M199" s="13" t="n"/>
      <c r="N199" s="13" t="n"/>
      <c r="O199" s="10" t="n">
        <v>100</v>
      </c>
      <c r="P199" s="11" t="inlineStr">
        <is>
          <t>مصرف مستقیم</t>
        </is>
      </c>
      <c r="Q199" s="10">
        <f>SUMIFS('ورودی برنامه'!$D$4:$D$16,'ورودی برنامه'!$A$4:$A$16,A199,'ورودی برنامه'!$C$4:$C$16,C199)</f>
        <v>1460</v>
      </c>
      <c r="R199" s="10">
        <f>SUMIFS('ورودی برنامه'!$E$4:$E$16,'ورودی برنامه'!$A$4:$A$16,A199,'ورودی برنامه'!$C$4:$C$16,C199)</f>
        <v>1200</v>
      </c>
      <c r="S199" s="10">
        <f>ROUND(Q199*J199/K199*O199/100,10)</f>
        <v>1460</v>
      </c>
      <c r="T199" s="10">
        <f>ROUND(R199*J199/K199*O199/100,10)</f>
        <v>1200</v>
      </c>
      <c r="U199" s="10" t="n">
        <v>1460</v>
      </c>
      <c r="V199" s="10" t="n">
        <v>1200</v>
      </c>
    </row>
    <row r="200" ht="20" customHeight="1">
      <c r="A200" s="5" t="n">
        <v>1201605</v>
      </c>
      <c r="B200" s="6" t="inlineStr">
        <is>
          <t>جعبه الکترونیکی مونتاژ ماشینی شده NBCM_DENA_SBR-(BOT)</t>
        </is>
      </c>
      <c r="C200" s="6" t="inlineStr">
        <is>
          <t>13416020184</t>
        </is>
      </c>
      <c r="D200" s="6" t="inlineStr">
        <is>
          <t>1405/03/05</t>
        </is>
      </c>
      <c r="E200" s="9" t="n"/>
      <c r="F200" s="5" t="n">
        <v>24195</v>
      </c>
      <c r="G200" s="5" t="n">
        <v>1110095</v>
      </c>
      <c r="H200" s="6" t="inlineStr">
        <is>
          <t>Capacitor 100nF,X7R,50V,10%</t>
        </is>
      </c>
      <c r="I200" s="6" t="inlineStr">
        <is>
          <t>عدد</t>
        </is>
      </c>
      <c r="J200" s="5" t="n">
        <v>13</v>
      </c>
      <c r="K200" s="5" t="n">
        <v>1</v>
      </c>
      <c r="L200" s="6" t="inlineStr">
        <is>
          <t>-</t>
        </is>
      </c>
      <c r="M200" s="9" t="n"/>
      <c r="N200" s="9" t="n"/>
      <c r="O200" s="5" t="n">
        <v>100</v>
      </c>
      <c r="P200" s="6" t="inlineStr">
        <is>
          <t>مصرف مستقیم</t>
        </is>
      </c>
      <c r="Q200" s="5">
        <f>SUMIFS('ورودی برنامه'!$D$4:$D$16,'ورودی برنامه'!$A$4:$A$16,A200,'ورودی برنامه'!$C$4:$C$16,C200)</f>
        <v>1460</v>
      </c>
      <c r="R200" s="5">
        <f>SUMIFS('ورودی برنامه'!$E$4:$E$16,'ورودی برنامه'!$A$4:$A$16,A200,'ورودی برنامه'!$C$4:$C$16,C200)</f>
        <v>1200</v>
      </c>
      <c r="S200" s="5">
        <f>ROUND(Q200*J200/K200*O200/100,10)</f>
        <v>18980</v>
      </c>
      <c r="T200" s="5">
        <f>ROUND(R200*J200/K200*O200/100,10)</f>
        <v>15600</v>
      </c>
      <c r="U200" s="5" t="n">
        <v>18980</v>
      </c>
      <c r="V200" s="5" t="n">
        <v>15600</v>
      </c>
    </row>
    <row r="201" ht="20" customHeight="1">
      <c r="A201" s="10" t="n">
        <v>1201605</v>
      </c>
      <c r="B201" s="11" t="inlineStr">
        <is>
          <t>جعبه الکترونیکی مونتاژ ماشینی شده NBCM_DENA_SBR-(BOT)</t>
        </is>
      </c>
      <c r="C201" s="11" t="inlineStr">
        <is>
          <t>13416020184</t>
        </is>
      </c>
      <c r="D201" s="11" t="inlineStr">
        <is>
          <t>1405/03/05</t>
        </is>
      </c>
      <c r="E201" s="13" t="n"/>
      <c r="F201" s="10" t="n">
        <v>24225</v>
      </c>
      <c r="G201" s="10" t="n">
        <v>1110096</v>
      </c>
      <c r="H201" s="11" t="inlineStr">
        <is>
          <t>Capacitor 4.7uF,X7R,50V,10%</t>
        </is>
      </c>
      <c r="I201" s="11" t="inlineStr">
        <is>
          <t>عدد</t>
        </is>
      </c>
      <c r="J201" s="10" t="n">
        <v>1</v>
      </c>
      <c r="K201" s="10" t="n">
        <v>1</v>
      </c>
      <c r="L201" s="11" t="inlineStr">
        <is>
          <t>-</t>
        </is>
      </c>
      <c r="M201" s="13" t="n"/>
      <c r="N201" s="13" t="n"/>
      <c r="O201" s="10" t="n">
        <v>100</v>
      </c>
      <c r="P201" s="11" t="inlineStr">
        <is>
          <t>مصرف مستقیم</t>
        </is>
      </c>
      <c r="Q201" s="10">
        <f>SUMIFS('ورودی برنامه'!$D$4:$D$16,'ورودی برنامه'!$A$4:$A$16,A201,'ورودی برنامه'!$C$4:$C$16,C201)</f>
        <v>1460</v>
      </c>
      <c r="R201" s="10">
        <f>SUMIFS('ورودی برنامه'!$E$4:$E$16,'ورودی برنامه'!$A$4:$A$16,A201,'ورودی برنامه'!$C$4:$C$16,C201)</f>
        <v>1200</v>
      </c>
      <c r="S201" s="10">
        <f>ROUND(Q201*J201/K201*O201/100,10)</f>
        <v>1460</v>
      </c>
      <c r="T201" s="10">
        <f>ROUND(R201*J201/K201*O201/100,10)</f>
        <v>1200</v>
      </c>
      <c r="U201" s="10" t="n">
        <v>1460</v>
      </c>
      <c r="V201" s="10" t="n">
        <v>1200</v>
      </c>
    </row>
    <row r="202" ht="20" customHeight="1">
      <c r="A202" s="5" t="n">
        <v>1201605</v>
      </c>
      <c r="B202" s="6" t="inlineStr">
        <is>
          <t>جعبه الکترونیکی مونتاژ ماشینی شده NBCM_DENA_SBR-(BOT)</t>
        </is>
      </c>
      <c r="C202" s="6" t="inlineStr">
        <is>
          <t>13416020184</t>
        </is>
      </c>
      <c r="D202" s="6" t="inlineStr">
        <is>
          <t>1405/03/05</t>
        </is>
      </c>
      <c r="E202" s="9" t="n"/>
      <c r="F202" s="5" t="n">
        <v>25551</v>
      </c>
      <c r="G202" s="5" t="n">
        <v>1110273</v>
      </c>
      <c r="H202" s="6" t="inlineStr">
        <is>
          <t>Resistor 316,1%,1W</t>
        </is>
      </c>
      <c r="I202" s="6" t="inlineStr">
        <is>
          <t>عدد</t>
        </is>
      </c>
      <c r="J202" s="5" t="n">
        <v>5</v>
      </c>
      <c r="K202" s="5" t="n">
        <v>1</v>
      </c>
      <c r="L202" s="6" t="inlineStr">
        <is>
          <t>7</t>
        </is>
      </c>
      <c r="M202" s="5" t="n">
        <v>3</v>
      </c>
      <c r="N202" s="5" t="n">
        <v>33</v>
      </c>
      <c r="O202" s="5">
        <f>N202</f>
        <v>33</v>
      </c>
      <c r="P202" s="6" t="inlineStr">
        <is>
          <t>سهم درصد استفاده BOM</t>
        </is>
      </c>
      <c r="Q202" s="5">
        <f>SUMIFS('ورودی برنامه'!$D$4:$D$16,'ورودی برنامه'!$A$4:$A$16,A202,'ورودی برنامه'!$C$4:$C$16,C202)</f>
        <v>1460</v>
      </c>
      <c r="R202" s="5">
        <f>SUMIFS('ورودی برنامه'!$E$4:$E$16,'ورودی برنامه'!$A$4:$A$16,A202,'ورودی برنامه'!$C$4:$C$16,C202)</f>
        <v>1200</v>
      </c>
      <c r="S202" s="5">
        <f>ROUND(Q202*J202/K202*O202/100,10)</f>
        <v>2409</v>
      </c>
      <c r="T202" s="5">
        <f>ROUND(R202*J202/K202*O202/100,10)</f>
        <v>1980</v>
      </c>
      <c r="U202" s="5" t="n">
        <v>0</v>
      </c>
      <c r="V202" s="5" t="n">
        <v>4108</v>
      </c>
    </row>
    <row r="203" ht="20" customHeight="1">
      <c r="A203" s="10" t="n">
        <v>1201605</v>
      </c>
      <c r="B203" s="11" t="inlineStr">
        <is>
          <t>جعبه الکترونیکی مونتاژ ماشینی شده NBCM_DENA_SBR-(BOT)</t>
        </is>
      </c>
      <c r="C203" s="11" t="inlineStr">
        <is>
          <t>13416020184</t>
        </is>
      </c>
      <c r="D203" s="11" t="inlineStr">
        <is>
          <t>1405/03/05</t>
        </is>
      </c>
      <c r="E203" s="13" t="n"/>
      <c r="F203" s="10" t="n">
        <v>27812</v>
      </c>
      <c r="G203" s="10" t="n">
        <v>1110183</v>
      </c>
      <c r="H203" s="11" t="inlineStr">
        <is>
          <t>Resistor 10K,5%,1/10W 0603</t>
        </is>
      </c>
      <c r="I203" s="11" t="inlineStr">
        <is>
          <t>عدد</t>
        </is>
      </c>
      <c r="J203" s="10" t="n">
        <v>7</v>
      </c>
      <c r="K203" s="10" t="n">
        <v>1</v>
      </c>
      <c r="L203" s="11" t="inlineStr">
        <is>
          <t>-</t>
        </is>
      </c>
      <c r="M203" s="13" t="n"/>
      <c r="N203" s="13" t="n"/>
      <c r="O203" s="10" t="n">
        <v>100</v>
      </c>
      <c r="P203" s="11" t="inlineStr">
        <is>
          <t>مصرف مستقیم</t>
        </is>
      </c>
      <c r="Q203" s="10">
        <f>SUMIFS('ورودی برنامه'!$D$4:$D$16,'ورودی برنامه'!$A$4:$A$16,A203,'ورودی برنامه'!$C$4:$C$16,C203)</f>
        <v>1460</v>
      </c>
      <c r="R203" s="10">
        <f>SUMIFS('ورودی برنامه'!$E$4:$E$16,'ورودی برنامه'!$A$4:$A$16,A203,'ورودی برنامه'!$C$4:$C$16,C203)</f>
        <v>1200</v>
      </c>
      <c r="S203" s="10">
        <f>ROUND(Q203*J203/K203*O203/100,10)</f>
        <v>10220</v>
      </c>
      <c r="T203" s="10">
        <f>ROUND(R203*J203/K203*O203/100,10)</f>
        <v>8400</v>
      </c>
      <c r="U203" s="10" t="n">
        <v>10220</v>
      </c>
      <c r="V203" s="10" t="n">
        <v>8400</v>
      </c>
    </row>
    <row r="204" ht="20" customHeight="1">
      <c r="A204" s="5" t="n">
        <v>1201605</v>
      </c>
      <c r="B204" s="6" t="inlineStr">
        <is>
          <t>جعبه الکترونیکی مونتاژ ماشینی شده NBCM_DENA_SBR-(BOT)</t>
        </is>
      </c>
      <c r="C204" s="6" t="inlineStr">
        <is>
          <t>13416020184</t>
        </is>
      </c>
      <c r="D204" s="6" t="inlineStr">
        <is>
          <t>1405/03/05</t>
        </is>
      </c>
      <c r="E204" s="9" t="n"/>
      <c r="F204" s="5" t="n">
        <v>28952</v>
      </c>
      <c r="G204" s="5" t="n">
        <v>1110920</v>
      </c>
      <c r="H204" s="6" t="inlineStr">
        <is>
          <t>Diode US1M</t>
        </is>
      </c>
      <c r="I204" s="6" t="inlineStr">
        <is>
          <t>عدد</t>
        </is>
      </c>
      <c r="J204" s="5" t="n">
        <v>4</v>
      </c>
      <c r="K204" s="5" t="n">
        <v>1</v>
      </c>
      <c r="L204" s="6" t="inlineStr">
        <is>
          <t>-</t>
        </is>
      </c>
      <c r="M204" s="9" t="n"/>
      <c r="N204" s="9" t="n"/>
      <c r="O204" s="5" t="n">
        <v>100</v>
      </c>
      <c r="P204" s="6" t="inlineStr">
        <is>
          <t>مصرف مستقیم</t>
        </is>
      </c>
      <c r="Q204" s="5">
        <f>SUMIFS('ورودی برنامه'!$D$4:$D$16,'ورودی برنامه'!$A$4:$A$16,A204,'ورودی برنامه'!$C$4:$C$16,C204)</f>
        <v>1460</v>
      </c>
      <c r="R204" s="5">
        <f>SUMIFS('ورودی برنامه'!$E$4:$E$16,'ورودی برنامه'!$A$4:$A$16,A204,'ورودی برنامه'!$C$4:$C$16,C204)</f>
        <v>1200</v>
      </c>
      <c r="S204" s="5">
        <f>ROUND(Q204*J204/K204*O204/100,10)</f>
        <v>5840</v>
      </c>
      <c r="T204" s="5">
        <f>ROUND(R204*J204/K204*O204/100,10)</f>
        <v>4800</v>
      </c>
      <c r="U204" s="5" t="n">
        <v>5840</v>
      </c>
      <c r="V204" s="5" t="n">
        <v>4800</v>
      </c>
    </row>
    <row r="205" ht="20" customHeight="1">
      <c r="A205" s="10" t="n">
        <v>1201605</v>
      </c>
      <c r="B205" s="11" t="inlineStr">
        <is>
          <t>جعبه الکترونیکی مونتاژ ماشینی شده NBCM_DENA_SBR-(BOT)</t>
        </is>
      </c>
      <c r="C205" s="11" t="inlineStr">
        <is>
          <t>13416020184</t>
        </is>
      </c>
      <c r="D205" s="11" t="inlineStr">
        <is>
          <t>1405/03/05</t>
        </is>
      </c>
      <c r="E205" s="13" t="n"/>
      <c r="F205" s="10" t="n">
        <v>28960</v>
      </c>
      <c r="G205" s="10" t="n">
        <v>1110921</v>
      </c>
      <c r="H205" s="11" t="inlineStr">
        <is>
          <t>Diode-TVS 400W-SMAJ28CAHE3_A/H</t>
        </is>
      </c>
      <c r="I205" s="11" t="inlineStr">
        <is>
          <t>عدد</t>
        </is>
      </c>
      <c r="J205" s="10" t="n">
        <v>3</v>
      </c>
      <c r="K205" s="10" t="n">
        <v>1</v>
      </c>
      <c r="L205" s="11" t="inlineStr">
        <is>
          <t>-</t>
        </is>
      </c>
      <c r="M205" s="13" t="n"/>
      <c r="N205" s="13" t="n"/>
      <c r="O205" s="10" t="n">
        <v>100</v>
      </c>
      <c r="P205" s="11" t="inlineStr">
        <is>
          <t>مصرف مستقیم</t>
        </is>
      </c>
      <c r="Q205" s="10">
        <f>SUMIFS('ورودی برنامه'!$D$4:$D$16,'ورودی برنامه'!$A$4:$A$16,A205,'ورودی برنامه'!$C$4:$C$16,C205)</f>
        <v>1460</v>
      </c>
      <c r="R205" s="10">
        <f>SUMIFS('ورودی برنامه'!$E$4:$E$16,'ورودی برنامه'!$A$4:$A$16,A205,'ورودی برنامه'!$C$4:$C$16,C205)</f>
        <v>1200</v>
      </c>
      <c r="S205" s="10">
        <f>ROUND(Q205*J205/K205*O205/100,10)</f>
        <v>4380</v>
      </c>
      <c r="T205" s="10">
        <f>ROUND(R205*J205/K205*O205/100,10)</f>
        <v>3600</v>
      </c>
      <c r="U205" s="10" t="n">
        <v>4380</v>
      </c>
      <c r="V205" s="10" t="n">
        <v>3600</v>
      </c>
    </row>
    <row r="206" ht="20" customHeight="1">
      <c r="A206" s="5" t="n">
        <v>1201605</v>
      </c>
      <c r="B206" s="6" t="inlineStr">
        <is>
          <t>جعبه الکترونیکی مونتاژ ماشینی شده NBCM_DENA_SBR-(BOT)</t>
        </is>
      </c>
      <c r="C206" s="6" t="inlineStr">
        <is>
          <t>13416020184</t>
        </is>
      </c>
      <c r="D206" s="6" t="inlineStr">
        <is>
          <t>1405/03/05</t>
        </is>
      </c>
      <c r="E206" s="9" t="n"/>
      <c r="F206" s="5" t="n">
        <v>29215</v>
      </c>
      <c r="G206" s="5" t="n">
        <v>1110274</v>
      </c>
      <c r="H206" s="6" t="inlineStr">
        <is>
          <t>Resistor 0 ,5%,1/10W</t>
        </is>
      </c>
      <c r="I206" s="6" t="inlineStr">
        <is>
          <t>عدد</t>
        </is>
      </c>
      <c r="J206" s="5" t="n">
        <v>1</v>
      </c>
      <c r="K206" s="5" t="n">
        <v>1</v>
      </c>
      <c r="L206" s="6" t="inlineStr">
        <is>
          <t>4</t>
        </is>
      </c>
      <c r="M206" s="5" t="n">
        <v>1</v>
      </c>
      <c r="N206" s="5" t="n">
        <v>50</v>
      </c>
      <c r="O206" s="5">
        <f>N206</f>
        <v>50</v>
      </c>
      <c r="P206" s="6" t="inlineStr">
        <is>
          <t>سهم درصد استفاده BOM</t>
        </is>
      </c>
      <c r="Q206" s="5">
        <f>SUMIFS('ورودی برنامه'!$D$4:$D$16,'ورودی برنامه'!$A$4:$A$16,A206,'ورودی برنامه'!$C$4:$C$16,C206)</f>
        <v>1460</v>
      </c>
      <c r="R206" s="5">
        <f>SUMIFS('ورودی برنامه'!$E$4:$E$16,'ورودی برنامه'!$A$4:$A$16,A206,'ورودی برنامه'!$C$4:$C$16,C206)</f>
        <v>1200</v>
      </c>
      <c r="S206" s="5">
        <f>ROUND(Q206*J206/K206*O206/100,10)</f>
        <v>730</v>
      </c>
      <c r="T206" s="5">
        <f>ROUND(R206*J206/K206*O206/100,10)</f>
        <v>600</v>
      </c>
      <c r="U206" s="5" t="n">
        <v>1460</v>
      </c>
      <c r="V206" s="5" t="n">
        <v>1200</v>
      </c>
    </row>
    <row r="207" ht="20" customHeight="1">
      <c r="A207" s="10" t="n">
        <v>1201605</v>
      </c>
      <c r="B207" s="11" t="inlineStr">
        <is>
          <t>جعبه الکترونیکی مونتاژ ماشینی شده NBCM_DENA_SBR-(BOT)</t>
        </is>
      </c>
      <c r="C207" s="11" t="inlineStr">
        <is>
          <t>13416020184</t>
        </is>
      </c>
      <c r="D207" s="11" t="inlineStr">
        <is>
          <t>1405/03/05</t>
        </is>
      </c>
      <c r="E207" s="13" t="n"/>
      <c r="F207" s="10" t="n">
        <v>29332</v>
      </c>
      <c r="G207" s="10" t="n">
        <v>1110277</v>
      </c>
      <c r="H207" s="11" t="inlineStr">
        <is>
          <t>Resistor 0,5%,1/4w (3216(1206</t>
        </is>
      </c>
      <c r="I207" s="11" t="inlineStr">
        <is>
          <t>عدد</t>
        </is>
      </c>
      <c r="J207" s="10" t="n">
        <v>1</v>
      </c>
      <c r="K207" s="10" t="n">
        <v>1</v>
      </c>
      <c r="L207" s="11" t="inlineStr">
        <is>
          <t>-</t>
        </is>
      </c>
      <c r="M207" s="13" t="n"/>
      <c r="N207" s="13" t="n"/>
      <c r="O207" s="10" t="n">
        <v>100</v>
      </c>
      <c r="P207" s="11" t="inlineStr">
        <is>
          <t>مصرف مستقیم</t>
        </is>
      </c>
      <c r="Q207" s="10">
        <f>SUMIFS('ورودی برنامه'!$D$4:$D$16,'ورودی برنامه'!$A$4:$A$16,A207,'ورودی برنامه'!$C$4:$C$16,C207)</f>
        <v>1460</v>
      </c>
      <c r="R207" s="10">
        <f>SUMIFS('ورودی برنامه'!$E$4:$E$16,'ورودی برنامه'!$A$4:$A$16,A207,'ورودی برنامه'!$C$4:$C$16,C207)</f>
        <v>1200</v>
      </c>
      <c r="S207" s="10">
        <f>ROUND(Q207*J207/K207*O207/100,10)</f>
        <v>1460</v>
      </c>
      <c r="T207" s="10">
        <f>ROUND(R207*J207/K207*O207/100,10)</f>
        <v>1200</v>
      </c>
      <c r="U207" s="10" t="n">
        <v>1460</v>
      </c>
      <c r="V207" s="10" t="n">
        <v>1200</v>
      </c>
    </row>
    <row r="208" ht="20" customHeight="1">
      <c r="A208" s="5" t="n">
        <v>1201605</v>
      </c>
      <c r="B208" s="6" t="inlineStr">
        <is>
          <t>جعبه الکترونیکی مونتاژ ماشینی شده NBCM_DENA_SBR-(BOT)</t>
        </is>
      </c>
      <c r="C208" s="6" t="inlineStr">
        <is>
          <t>13416020184</t>
        </is>
      </c>
      <c r="D208" s="6" t="inlineStr">
        <is>
          <t>1405/03/05</t>
        </is>
      </c>
      <c r="E208" s="9" t="n"/>
      <c r="F208" s="5" t="n">
        <v>29660</v>
      </c>
      <c r="G208" s="5" t="n">
        <v>1110746</v>
      </c>
      <c r="H208" s="6" t="inlineStr">
        <is>
          <t>Resistor 0 ,5%,1W</t>
        </is>
      </c>
      <c r="I208" s="6" t="inlineStr">
        <is>
          <t>عدد</t>
        </is>
      </c>
      <c r="J208" s="5" t="n">
        <v>1</v>
      </c>
      <c r="K208" s="5" t="n">
        <v>1</v>
      </c>
      <c r="L208" s="6" t="inlineStr">
        <is>
          <t>4</t>
        </is>
      </c>
      <c r="M208" s="5" t="n">
        <v>2</v>
      </c>
      <c r="N208" s="5" t="n">
        <v>50</v>
      </c>
      <c r="O208" s="5">
        <f>N208</f>
        <v>50</v>
      </c>
      <c r="P208" s="6" t="inlineStr">
        <is>
          <t>سهم درصد استفاده BOM</t>
        </is>
      </c>
      <c r="Q208" s="5">
        <f>SUMIFS('ورودی برنامه'!$D$4:$D$16,'ورودی برنامه'!$A$4:$A$16,A208,'ورودی برنامه'!$C$4:$C$16,C208)</f>
        <v>1460</v>
      </c>
      <c r="R208" s="5">
        <f>SUMIFS('ورودی برنامه'!$E$4:$E$16,'ورودی برنامه'!$A$4:$A$16,A208,'ورودی برنامه'!$C$4:$C$16,C208)</f>
        <v>1200</v>
      </c>
      <c r="S208" s="5">
        <f>ROUND(Q208*J208/K208*O208/100,10)</f>
        <v>730</v>
      </c>
      <c r="T208" s="5">
        <f>ROUND(R208*J208/K208*O208/100,10)</f>
        <v>600</v>
      </c>
      <c r="U208" s="5" t="n">
        <v>0</v>
      </c>
      <c r="V208" s="5" t="n">
        <v>0</v>
      </c>
    </row>
    <row r="209" ht="20" customHeight="1">
      <c r="A209" s="10" t="n">
        <v>1201605</v>
      </c>
      <c r="B209" s="11" t="inlineStr">
        <is>
          <t>جعبه الکترونیکی مونتاژ ماشینی شده NBCM_DENA_SBR-(BOT)</t>
        </is>
      </c>
      <c r="C209" s="11" t="inlineStr">
        <is>
          <t>13416020184</t>
        </is>
      </c>
      <c r="D209" s="11" t="inlineStr">
        <is>
          <t>1405/03/05</t>
        </is>
      </c>
      <c r="E209" s="13" t="n"/>
      <c r="F209" s="10" t="n">
        <v>29904</v>
      </c>
      <c r="G209" s="10" t="n">
        <v>1110132</v>
      </c>
      <c r="H209" s="11" t="inlineStr">
        <is>
          <t>Capacitor 1nF,X7R,50V,10% (3003864</t>
        </is>
      </c>
      <c r="I209" s="11" t="inlineStr">
        <is>
          <t>عدد</t>
        </is>
      </c>
      <c r="J209" s="10" t="n">
        <v>1</v>
      </c>
      <c r="K209" s="10" t="n">
        <v>1</v>
      </c>
      <c r="L209" s="11" t="inlineStr">
        <is>
          <t>-</t>
        </is>
      </c>
      <c r="M209" s="13" t="n"/>
      <c r="N209" s="13" t="n"/>
      <c r="O209" s="10" t="n">
        <v>100</v>
      </c>
      <c r="P209" s="11" t="inlineStr">
        <is>
          <t>مصرف مستقیم</t>
        </is>
      </c>
      <c r="Q209" s="10">
        <f>SUMIFS('ورودی برنامه'!$D$4:$D$16,'ورودی برنامه'!$A$4:$A$16,A209,'ورودی برنامه'!$C$4:$C$16,C209)</f>
        <v>1460</v>
      </c>
      <c r="R209" s="10">
        <f>SUMIFS('ورودی برنامه'!$E$4:$E$16,'ورودی برنامه'!$A$4:$A$16,A209,'ورودی برنامه'!$C$4:$C$16,C209)</f>
        <v>1200</v>
      </c>
      <c r="S209" s="10">
        <f>ROUND(Q209*J209/K209*O209/100,10)</f>
        <v>1460</v>
      </c>
      <c r="T209" s="10">
        <f>ROUND(R209*J209/K209*O209/100,10)</f>
        <v>1200</v>
      </c>
      <c r="U209" s="10" t="n">
        <v>1460</v>
      </c>
      <c r="V209" s="10" t="n">
        <v>1200</v>
      </c>
    </row>
    <row r="210" ht="20" customHeight="1">
      <c r="A210" s="5" t="n">
        <v>1201605</v>
      </c>
      <c r="B210" s="6" t="inlineStr">
        <is>
          <t>جعبه الکترونیکی مونتاژ ماشینی شده NBCM_DENA_SBR-(BOT)</t>
        </is>
      </c>
      <c r="C210" s="6" t="inlineStr">
        <is>
          <t>13416020184</t>
        </is>
      </c>
      <c r="D210" s="6" t="inlineStr">
        <is>
          <t>1405/03/05</t>
        </is>
      </c>
      <c r="E210" s="9" t="n"/>
      <c r="F210" s="5" t="n">
        <v>30323</v>
      </c>
      <c r="G210" s="5" t="n">
        <v>1110706</v>
      </c>
      <c r="H210" s="6" t="inlineStr">
        <is>
          <t>resistor 1K,1%,1/10W</t>
        </is>
      </c>
      <c r="I210" s="6" t="inlineStr">
        <is>
          <t>عدد</t>
        </is>
      </c>
      <c r="J210" s="5" t="n">
        <v>1</v>
      </c>
      <c r="K210" s="5" t="n">
        <v>1</v>
      </c>
      <c r="L210" s="6" t="inlineStr">
        <is>
          <t>6</t>
        </is>
      </c>
      <c r="M210" s="5" t="n">
        <v>2</v>
      </c>
      <c r="N210" s="5" t="n">
        <v>50</v>
      </c>
      <c r="O210" s="5">
        <f>N210</f>
        <v>50</v>
      </c>
      <c r="P210" s="6" t="inlineStr">
        <is>
          <t>سهم درصد استفاده BOM</t>
        </is>
      </c>
      <c r="Q210" s="5">
        <f>SUMIFS('ورودی برنامه'!$D$4:$D$16,'ورودی برنامه'!$A$4:$A$16,A210,'ورودی برنامه'!$C$4:$C$16,C210)</f>
        <v>1460</v>
      </c>
      <c r="R210" s="5">
        <f>SUMIFS('ورودی برنامه'!$E$4:$E$16,'ورودی برنامه'!$A$4:$A$16,A210,'ورودی برنامه'!$C$4:$C$16,C210)</f>
        <v>1200</v>
      </c>
      <c r="S210" s="5">
        <f>ROUND(Q210*J210/K210*O210/100,10)</f>
        <v>730</v>
      </c>
      <c r="T210" s="5">
        <f>ROUND(R210*J210/K210*O210/100,10)</f>
        <v>600</v>
      </c>
      <c r="U210" s="5" t="n">
        <v>1460</v>
      </c>
      <c r="V210" s="5" t="n">
        <v>0</v>
      </c>
    </row>
    <row r="211" ht="20" customHeight="1">
      <c r="A211" s="10" t="n">
        <v>1201605</v>
      </c>
      <c r="B211" s="11" t="inlineStr">
        <is>
          <t>جعبه الکترونیکی مونتاژ ماشینی شده NBCM_DENA_SBR-(BOT)</t>
        </is>
      </c>
      <c r="C211" s="11" t="inlineStr">
        <is>
          <t>13416020184</t>
        </is>
      </c>
      <c r="D211" s="11" t="inlineStr">
        <is>
          <t>1405/03/05</t>
        </is>
      </c>
      <c r="E211" s="13" t="n"/>
      <c r="F211" s="10" t="n">
        <v>30340</v>
      </c>
      <c r="G211" s="10" t="n">
        <v>1110702</v>
      </c>
      <c r="H211" s="11" t="inlineStr">
        <is>
          <t>resistor 10K,1%,1/10W</t>
        </is>
      </c>
      <c r="I211" s="11" t="inlineStr">
        <is>
          <t>عدد</t>
        </is>
      </c>
      <c r="J211" s="10" t="n">
        <v>2</v>
      </c>
      <c r="K211" s="10" t="n">
        <v>1</v>
      </c>
      <c r="L211" s="11" t="inlineStr">
        <is>
          <t>-</t>
        </is>
      </c>
      <c r="M211" s="13" t="n"/>
      <c r="N211" s="13" t="n"/>
      <c r="O211" s="10" t="n">
        <v>100</v>
      </c>
      <c r="P211" s="11" t="inlineStr">
        <is>
          <t>مصرف مستقیم</t>
        </is>
      </c>
      <c r="Q211" s="10">
        <f>SUMIFS('ورودی برنامه'!$D$4:$D$16,'ورودی برنامه'!$A$4:$A$16,A211,'ورودی برنامه'!$C$4:$C$16,C211)</f>
        <v>1460</v>
      </c>
      <c r="R211" s="10">
        <f>SUMIFS('ورودی برنامه'!$E$4:$E$16,'ورودی برنامه'!$A$4:$A$16,A211,'ورودی برنامه'!$C$4:$C$16,C211)</f>
        <v>1200</v>
      </c>
      <c r="S211" s="10">
        <f>ROUND(Q211*J211/K211*O211/100,10)</f>
        <v>2920</v>
      </c>
      <c r="T211" s="10">
        <f>ROUND(R211*J211/K211*O211/100,10)</f>
        <v>2400</v>
      </c>
      <c r="U211" s="10" t="n">
        <v>2920</v>
      </c>
      <c r="V211" s="10" t="n">
        <v>2400</v>
      </c>
    </row>
    <row r="212" ht="20" customHeight="1">
      <c r="A212" s="5" t="n">
        <v>1201605</v>
      </c>
      <c r="B212" s="6" t="inlineStr">
        <is>
          <t>جعبه الکترونیکی مونتاژ ماشینی شده NBCM_DENA_SBR-(BOT)</t>
        </is>
      </c>
      <c r="C212" s="6" t="inlineStr">
        <is>
          <t>13416020184</t>
        </is>
      </c>
      <c r="D212" s="6" t="inlineStr">
        <is>
          <t>1405/03/05</t>
        </is>
      </c>
      <c r="E212" s="9" t="n"/>
      <c r="F212" s="5" t="n">
        <v>31688</v>
      </c>
      <c r="G212" s="5" t="n">
        <v>1110708</v>
      </c>
      <c r="H212" s="6" t="inlineStr">
        <is>
          <t>Resistor 1K,5%,1/10W (3004604</t>
        </is>
      </c>
      <c r="I212" s="6" t="inlineStr">
        <is>
          <t>عدد</t>
        </is>
      </c>
      <c r="J212" s="5" t="n">
        <v>1</v>
      </c>
      <c r="K212" s="5" t="n">
        <v>1</v>
      </c>
      <c r="L212" s="6" t="inlineStr">
        <is>
          <t>6</t>
        </is>
      </c>
      <c r="M212" s="5" t="n">
        <v>1</v>
      </c>
      <c r="N212" s="5" t="n">
        <v>50</v>
      </c>
      <c r="O212" s="5">
        <f>N212</f>
        <v>50</v>
      </c>
      <c r="P212" s="6" t="inlineStr">
        <is>
          <t>سهم درصد استفاده BOM</t>
        </is>
      </c>
      <c r="Q212" s="5">
        <f>SUMIFS('ورودی برنامه'!$D$4:$D$16,'ورودی برنامه'!$A$4:$A$16,A212,'ورودی برنامه'!$C$4:$C$16,C212)</f>
        <v>1460</v>
      </c>
      <c r="R212" s="5">
        <f>SUMIFS('ورودی برنامه'!$E$4:$E$16,'ورودی برنامه'!$A$4:$A$16,A212,'ورودی برنامه'!$C$4:$C$16,C212)</f>
        <v>1200</v>
      </c>
      <c r="S212" s="5">
        <f>ROUND(Q212*J212/K212*O212/100,10)</f>
        <v>730</v>
      </c>
      <c r="T212" s="5">
        <f>ROUND(R212*J212/K212*O212/100,10)</f>
        <v>600</v>
      </c>
      <c r="U212" s="5" t="n">
        <v>0</v>
      </c>
      <c r="V212" s="5" t="n">
        <v>1200</v>
      </c>
    </row>
    <row r="213" ht="20" customHeight="1">
      <c r="A213" s="10" t="n">
        <v>1201605</v>
      </c>
      <c r="B213" s="11" t="inlineStr">
        <is>
          <t>جعبه الکترونیکی مونتاژ ماشینی شده NBCM_DENA_SBR-(BOT)</t>
        </is>
      </c>
      <c r="C213" s="11" t="inlineStr">
        <is>
          <t>13416020184</t>
        </is>
      </c>
      <c r="D213" s="11" t="inlineStr">
        <is>
          <t>1405/03/05</t>
        </is>
      </c>
      <c r="E213" s="13" t="n"/>
      <c r="F213" s="10" t="n">
        <v>32019</v>
      </c>
      <c r="G213" s="10" t="n">
        <v>1110714</v>
      </c>
      <c r="H213" s="11" t="inlineStr">
        <is>
          <t>Resistor 22K,1%,1/10W</t>
        </is>
      </c>
      <c r="I213" s="11" t="inlineStr">
        <is>
          <t>عدد</t>
        </is>
      </c>
      <c r="J213" s="10" t="n">
        <v>35</v>
      </c>
      <c r="K213" s="10" t="n">
        <v>1</v>
      </c>
      <c r="L213" s="11" t="inlineStr">
        <is>
          <t>5</t>
        </is>
      </c>
      <c r="M213" s="10" t="n">
        <v>2</v>
      </c>
      <c r="N213" s="10" t="n">
        <v>50</v>
      </c>
      <c r="O213" s="10">
        <f>N213</f>
        <v>50</v>
      </c>
      <c r="P213" s="11" t="inlineStr">
        <is>
          <t>سهم درصد استفاده BOM</t>
        </is>
      </c>
      <c r="Q213" s="10">
        <f>SUMIFS('ورودی برنامه'!$D$4:$D$16,'ورودی برنامه'!$A$4:$A$16,A213,'ورودی برنامه'!$C$4:$C$16,C213)</f>
        <v>1460</v>
      </c>
      <c r="R213" s="10">
        <f>SUMIFS('ورودی برنامه'!$E$4:$E$16,'ورودی برنامه'!$A$4:$A$16,A213,'ورودی برنامه'!$C$4:$C$16,C213)</f>
        <v>1200</v>
      </c>
      <c r="S213" s="10">
        <f>ROUND(Q213*J213/K213*O213/100,10)</f>
        <v>25550</v>
      </c>
      <c r="T213" s="10">
        <f>ROUND(R213*J213/K213*O213/100,10)</f>
        <v>21000</v>
      </c>
      <c r="U213" s="10" t="n">
        <v>0</v>
      </c>
      <c r="V213" s="10" t="n">
        <v>0</v>
      </c>
    </row>
    <row r="214" ht="20" customHeight="1">
      <c r="A214" s="5" t="n">
        <v>1201605</v>
      </c>
      <c r="B214" s="6" t="inlineStr">
        <is>
          <t>جعبه الکترونیکی مونتاژ ماشینی شده NBCM_DENA_SBR-(BOT)</t>
        </is>
      </c>
      <c r="C214" s="6" t="inlineStr">
        <is>
          <t>13416020184</t>
        </is>
      </c>
      <c r="D214" s="6" t="inlineStr">
        <is>
          <t>1405/03/05</t>
        </is>
      </c>
      <c r="E214" s="9" t="n"/>
      <c r="F214" s="5" t="n">
        <v>32634</v>
      </c>
      <c r="G214" s="5" t="n">
        <v>1110747</v>
      </c>
      <c r="H214" s="6" t="inlineStr">
        <is>
          <t>Resistor 330, 5%, 1w</t>
        </is>
      </c>
      <c r="I214" s="6" t="inlineStr">
        <is>
          <t>عدد</t>
        </is>
      </c>
      <c r="J214" s="5" t="n">
        <v>5</v>
      </c>
      <c r="K214" s="5" t="n">
        <v>1</v>
      </c>
      <c r="L214" s="6" t="inlineStr">
        <is>
          <t>7</t>
        </is>
      </c>
      <c r="M214" s="5" t="n">
        <v>1</v>
      </c>
      <c r="N214" s="5" t="n">
        <v>34</v>
      </c>
      <c r="O214" s="5">
        <f>N214</f>
        <v>34</v>
      </c>
      <c r="P214" s="6" t="inlineStr">
        <is>
          <t>سهم درصد استفاده BOM</t>
        </is>
      </c>
      <c r="Q214" s="5">
        <f>SUMIFS('ورودی برنامه'!$D$4:$D$16,'ورودی برنامه'!$A$4:$A$16,A214,'ورودی برنامه'!$C$4:$C$16,C214)</f>
        <v>1460</v>
      </c>
      <c r="R214" s="5">
        <f>SUMIFS('ورودی برنامه'!$E$4:$E$16,'ورودی برنامه'!$A$4:$A$16,A214,'ورودی برنامه'!$C$4:$C$16,C214)</f>
        <v>1200</v>
      </c>
      <c r="S214" s="5">
        <f>ROUND(Q214*J214/K214*O214/100,10)</f>
        <v>2482</v>
      </c>
      <c r="T214" s="5">
        <f>ROUND(R214*J214/K214*O214/100,10)</f>
        <v>2040</v>
      </c>
      <c r="U214" s="5" t="n">
        <v>7300</v>
      </c>
      <c r="V214" s="5" t="n">
        <v>1892</v>
      </c>
    </row>
    <row r="215" ht="20" customHeight="1">
      <c r="A215" s="10" t="n">
        <v>1201605</v>
      </c>
      <c r="B215" s="11" t="inlineStr">
        <is>
          <t>جعبه الکترونیکی مونتاژ ماشینی شده NBCM_DENA_SBR-(BOT)</t>
        </is>
      </c>
      <c r="C215" s="11" t="inlineStr">
        <is>
          <t>13416020184</t>
        </is>
      </c>
      <c r="D215" s="11" t="inlineStr">
        <is>
          <t>1405/03/05</t>
        </is>
      </c>
      <c r="E215" s="13" t="n"/>
      <c r="F215" s="10" t="n">
        <v>32766</v>
      </c>
      <c r="G215" s="10" t="n">
        <v>1110748</v>
      </c>
      <c r="H215" s="11" t="inlineStr">
        <is>
          <t>Resistor 330, 1%, 1w</t>
        </is>
      </c>
      <c r="I215" s="11" t="inlineStr">
        <is>
          <t>عدد</t>
        </is>
      </c>
      <c r="J215" s="10" t="n">
        <v>5</v>
      </c>
      <c r="K215" s="10" t="n">
        <v>1</v>
      </c>
      <c r="L215" s="11" t="inlineStr">
        <is>
          <t>7</t>
        </is>
      </c>
      <c r="M215" s="10" t="n">
        <v>2</v>
      </c>
      <c r="N215" s="10" t="n">
        <v>33</v>
      </c>
      <c r="O215" s="10">
        <f>N215</f>
        <v>33</v>
      </c>
      <c r="P215" s="11" t="inlineStr">
        <is>
          <t>سهم درصد استفاده BOM</t>
        </is>
      </c>
      <c r="Q215" s="10">
        <f>SUMIFS('ورودی برنامه'!$D$4:$D$16,'ورودی برنامه'!$A$4:$A$16,A215,'ورودی برنامه'!$C$4:$C$16,C215)</f>
        <v>1460</v>
      </c>
      <c r="R215" s="10">
        <f>SUMIFS('ورودی برنامه'!$E$4:$E$16,'ورودی برنامه'!$A$4:$A$16,A215,'ورودی برنامه'!$C$4:$C$16,C215)</f>
        <v>1200</v>
      </c>
      <c r="S215" s="10">
        <f>ROUND(Q215*J215/K215*O215/100,10)</f>
        <v>2409</v>
      </c>
      <c r="T215" s="10">
        <f>ROUND(R215*J215/K215*O215/100,10)</f>
        <v>1980</v>
      </c>
      <c r="U215" s="10" t="n">
        <v>0</v>
      </c>
      <c r="V215" s="10" t="n">
        <v>0</v>
      </c>
    </row>
    <row r="216" ht="20" customHeight="1">
      <c r="A216" s="5" t="n">
        <v>1201605</v>
      </c>
      <c r="B216" s="6" t="inlineStr">
        <is>
          <t>جعبه الکترونیکی مونتاژ ماشینی شده NBCM_DENA_SBR-(BOT)</t>
        </is>
      </c>
      <c r="C216" s="6" t="inlineStr">
        <is>
          <t>13416020184</t>
        </is>
      </c>
      <c r="D216" s="6" t="inlineStr">
        <is>
          <t>1405/03/05</t>
        </is>
      </c>
      <c r="E216" s="9" t="n"/>
      <c r="F216" s="5" t="n">
        <v>33604</v>
      </c>
      <c r="G216" s="5" t="n">
        <v>1110101</v>
      </c>
      <c r="H216" s="6" t="inlineStr">
        <is>
          <t>Capacitor 47nF, X7R, 50V, 10%</t>
        </is>
      </c>
      <c r="I216" s="6" t="inlineStr">
        <is>
          <t>عدد</t>
        </is>
      </c>
      <c r="J216" s="5" t="n">
        <v>83</v>
      </c>
      <c r="K216" s="5" t="n">
        <v>1</v>
      </c>
      <c r="L216" s="6" t="inlineStr">
        <is>
          <t>-</t>
        </is>
      </c>
      <c r="M216" s="9" t="n"/>
      <c r="N216" s="9" t="n"/>
      <c r="O216" s="5" t="n">
        <v>100</v>
      </c>
      <c r="P216" s="6" t="inlineStr">
        <is>
          <t>مصرف مستقیم</t>
        </is>
      </c>
      <c r="Q216" s="5">
        <f>SUMIFS('ورودی برنامه'!$D$4:$D$16,'ورودی برنامه'!$A$4:$A$16,A216,'ورودی برنامه'!$C$4:$C$16,C216)</f>
        <v>1460</v>
      </c>
      <c r="R216" s="5">
        <f>SUMIFS('ورودی برنامه'!$E$4:$E$16,'ورودی برنامه'!$A$4:$A$16,A216,'ورودی برنامه'!$C$4:$C$16,C216)</f>
        <v>1200</v>
      </c>
      <c r="S216" s="5">
        <f>ROUND(Q216*J216/K216*O216/100,10)</f>
        <v>121180</v>
      </c>
      <c r="T216" s="5">
        <f>ROUND(R216*J216/K216*O216/100,10)</f>
        <v>99600</v>
      </c>
      <c r="U216" s="5" t="n">
        <v>121180</v>
      </c>
      <c r="V216" s="5" t="n">
        <v>99600</v>
      </c>
    </row>
    <row r="217" ht="20" customHeight="1">
      <c r="A217" s="10" t="n">
        <v>1201605</v>
      </c>
      <c r="B217" s="11" t="inlineStr">
        <is>
          <t>جعبه الکترونیکی مونتاژ ماشینی شده NBCM_DENA_SBR-(BOT)</t>
        </is>
      </c>
      <c r="C217" s="11" t="inlineStr">
        <is>
          <t>13416020184</t>
        </is>
      </c>
      <c r="D217" s="11" t="inlineStr">
        <is>
          <t>1405/03/05</t>
        </is>
      </c>
      <c r="E217" s="13" t="n"/>
      <c r="F217" s="10" t="n">
        <v>33941</v>
      </c>
      <c r="G217" s="10" t="n">
        <v>1110109</v>
      </c>
      <c r="H217" s="11" t="inlineStr">
        <is>
          <t>Capacitor 68pF , 5%,50V , X7R</t>
        </is>
      </c>
      <c r="I217" s="11" t="inlineStr">
        <is>
          <t>عدد</t>
        </is>
      </c>
      <c r="J217" s="10" t="n">
        <v>4</v>
      </c>
      <c r="K217" s="10" t="n">
        <v>1</v>
      </c>
      <c r="L217" s="11" t="inlineStr">
        <is>
          <t>-</t>
        </is>
      </c>
      <c r="M217" s="13" t="n"/>
      <c r="N217" s="13" t="n"/>
      <c r="O217" s="10" t="n">
        <v>100</v>
      </c>
      <c r="P217" s="11" t="inlineStr">
        <is>
          <t>مصرف مستقیم</t>
        </is>
      </c>
      <c r="Q217" s="10">
        <f>SUMIFS('ورودی برنامه'!$D$4:$D$16,'ورودی برنامه'!$A$4:$A$16,A217,'ورودی برنامه'!$C$4:$C$16,C217)</f>
        <v>1460</v>
      </c>
      <c r="R217" s="10">
        <f>SUMIFS('ورودی برنامه'!$E$4:$E$16,'ورودی برنامه'!$A$4:$A$16,A217,'ورودی برنامه'!$C$4:$C$16,C217)</f>
        <v>1200</v>
      </c>
      <c r="S217" s="10">
        <f>ROUND(Q217*J217/K217*O217/100,10)</f>
        <v>5840</v>
      </c>
      <c r="T217" s="10">
        <f>ROUND(R217*J217/K217*O217/100,10)</f>
        <v>4800</v>
      </c>
      <c r="U217" s="10" t="n">
        <v>5840</v>
      </c>
      <c r="V217" s="10" t="n">
        <v>4800</v>
      </c>
    </row>
    <row r="218" ht="20" customHeight="1">
      <c r="A218" s="5" t="n">
        <v>1201605</v>
      </c>
      <c r="B218" s="6" t="inlineStr">
        <is>
          <t>جعبه الکترونیکی مونتاژ ماشینی شده NBCM_DENA_SBR-(BOT)</t>
        </is>
      </c>
      <c r="C218" s="6" t="inlineStr">
        <is>
          <t>13416020184</t>
        </is>
      </c>
      <c r="D218" s="6" t="inlineStr">
        <is>
          <t>1405/03/05</t>
        </is>
      </c>
      <c r="E218" s="9" t="n"/>
      <c r="F218" s="5" t="n">
        <v>34186</v>
      </c>
      <c r="G218" s="5" t="n">
        <v>1110754</v>
      </c>
      <c r="H218" s="6" t="inlineStr">
        <is>
          <t>Resistor 1R, 1%, 1/4W</t>
        </is>
      </c>
      <c r="I218" s="6" t="inlineStr">
        <is>
          <t>عدد</t>
        </is>
      </c>
      <c r="J218" s="5" t="n">
        <v>2</v>
      </c>
      <c r="K218" s="5" t="n">
        <v>1</v>
      </c>
      <c r="L218" s="6" t="inlineStr">
        <is>
          <t>-</t>
        </is>
      </c>
      <c r="M218" s="9" t="n"/>
      <c r="N218" s="9" t="n"/>
      <c r="O218" s="5" t="n">
        <v>100</v>
      </c>
      <c r="P218" s="6" t="inlineStr">
        <is>
          <t>مصرف مستقیم</t>
        </is>
      </c>
      <c r="Q218" s="5">
        <f>SUMIFS('ورودی برنامه'!$D$4:$D$16,'ورودی برنامه'!$A$4:$A$16,A218,'ورودی برنامه'!$C$4:$C$16,C218)</f>
        <v>1460</v>
      </c>
      <c r="R218" s="5">
        <f>SUMIFS('ورودی برنامه'!$E$4:$E$16,'ورودی برنامه'!$A$4:$A$16,A218,'ورودی برنامه'!$C$4:$C$16,C218)</f>
        <v>1200</v>
      </c>
      <c r="S218" s="5">
        <f>ROUND(Q218*J218/K218*O218/100,10)</f>
        <v>2920</v>
      </c>
      <c r="T218" s="5">
        <f>ROUND(R218*J218/K218*O218/100,10)</f>
        <v>2400</v>
      </c>
      <c r="U218" s="5" t="n">
        <v>2920</v>
      </c>
      <c r="V218" s="5" t="n">
        <v>2400</v>
      </c>
    </row>
    <row r="219" ht="20" customHeight="1">
      <c r="A219" s="10" t="n">
        <v>1201605</v>
      </c>
      <c r="B219" s="11" t="inlineStr">
        <is>
          <t>جعبه الکترونیکی مونتاژ ماشینی شده NBCM_DENA_SBR-(BOT)</t>
        </is>
      </c>
      <c r="C219" s="11" t="inlineStr">
        <is>
          <t>13416020184</t>
        </is>
      </c>
      <c r="D219" s="11" t="inlineStr">
        <is>
          <t>1405/03/05</t>
        </is>
      </c>
      <c r="E219" s="13" t="n"/>
      <c r="F219" s="10" t="n">
        <v>34417</v>
      </c>
      <c r="G219" s="10" t="n">
        <v>1110761</v>
      </c>
      <c r="H219" s="11" t="inlineStr">
        <is>
          <t>Resistor 4.7k, 1%, 1/16W</t>
        </is>
      </c>
      <c r="I219" s="11" t="inlineStr">
        <is>
          <t>عدد</t>
        </is>
      </c>
      <c r="J219" s="10" t="n">
        <v>1</v>
      </c>
      <c r="K219" s="10" t="n">
        <v>1</v>
      </c>
      <c r="L219" s="11" t="inlineStr">
        <is>
          <t>-</t>
        </is>
      </c>
      <c r="M219" s="13" t="n"/>
      <c r="N219" s="13" t="n"/>
      <c r="O219" s="10" t="n">
        <v>100</v>
      </c>
      <c r="P219" s="11" t="inlineStr">
        <is>
          <t>مصرف مستقیم</t>
        </is>
      </c>
      <c r="Q219" s="10">
        <f>SUMIFS('ورودی برنامه'!$D$4:$D$16,'ورودی برنامه'!$A$4:$A$16,A219,'ورودی برنامه'!$C$4:$C$16,C219)</f>
        <v>1460</v>
      </c>
      <c r="R219" s="10">
        <f>SUMIFS('ورودی برنامه'!$E$4:$E$16,'ورودی برنامه'!$A$4:$A$16,A219,'ورودی برنامه'!$C$4:$C$16,C219)</f>
        <v>1200</v>
      </c>
      <c r="S219" s="10">
        <f>ROUND(Q219*J219/K219*O219/100,10)</f>
        <v>1460</v>
      </c>
      <c r="T219" s="10">
        <f>ROUND(R219*J219/K219*O219/100,10)</f>
        <v>1200</v>
      </c>
      <c r="U219" s="10" t="n">
        <v>1460</v>
      </c>
      <c r="V219" s="10" t="n">
        <v>1200</v>
      </c>
    </row>
    <row r="220" ht="20" customHeight="1">
      <c r="A220" s="5" t="n">
        <v>1201605</v>
      </c>
      <c r="B220" s="6" t="inlineStr">
        <is>
          <t>جعبه الکترونیکی مونتاژ ماشینی شده NBCM_DENA_SBR-(BOT)</t>
        </is>
      </c>
      <c r="C220" s="6" t="inlineStr">
        <is>
          <t>13416020184</t>
        </is>
      </c>
      <c r="D220" s="6" t="inlineStr">
        <is>
          <t>1405/03/05</t>
        </is>
      </c>
      <c r="E220" s="9" t="n"/>
      <c r="F220" s="5" t="n">
        <v>34745</v>
      </c>
      <c r="G220" s="5" t="n">
        <v>1110762</v>
      </c>
      <c r="H220" s="6" t="inlineStr">
        <is>
          <t>Resistor 3.32k, 1%,1/16w</t>
        </is>
      </c>
      <c r="I220" s="6" t="inlineStr">
        <is>
          <t>عدد</t>
        </is>
      </c>
      <c r="J220" s="5" t="n">
        <v>2</v>
      </c>
      <c r="K220" s="5" t="n">
        <v>1</v>
      </c>
      <c r="L220" s="6" t="inlineStr">
        <is>
          <t>-</t>
        </is>
      </c>
      <c r="M220" s="9" t="n"/>
      <c r="N220" s="9" t="n"/>
      <c r="O220" s="5" t="n">
        <v>100</v>
      </c>
      <c r="P220" s="6" t="inlineStr">
        <is>
          <t>مصرف مستقیم</t>
        </is>
      </c>
      <c r="Q220" s="5">
        <f>SUMIFS('ورودی برنامه'!$D$4:$D$16,'ورودی برنامه'!$A$4:$A$16,A220,'ورودی برنامه'!$C$4:$C$16,C220)</f>
        <v>1460</v>
      </c>
      <c r="R220" s="5">
        <f>SUMIFS('ورودی برنامه'!$E$4:$E$16,'ورودی برنامه'!$A$4:$A$16,A220,'ورودی برنامه'!$C$4:$C$16,C220)</f>
        <v>1200</v>
      </c>
      <c r="S220" s="5">
        <f>ROUND(Q220*J220/K220*O220/100,10)</f>
        <v>2920</v>
      </c>
      <c r="T220" s="5">
        <f>ROUND(R220*J220/K220*O220/100,10)</f>
        <v>2400</v>
      </c>
      <c r="U220" s="5" t="n">
        <v>2920</v>
      </c>
      <c r="V220" s="5" t="n">
        <v>2400</v>
      </c>
    </row>
    <row r="221" ht="20" customHeight="1">
      <c r="A221" s="10" t="n">
        <v>1201605</v>
      </c>
      <c r="B221" s="11" t="inlineStr">
        <is>
          <t>جعبه الکترونیکی مونتاژ ماشینی شده NBCM_DENA_SBR-(BOT)</t>
        </is>
      </c>
      <c r="C221" s="11" t="inlineStr">
        <is>
          <t>13416020184</t>
        </is>
      </c>
      <c r="D221" s="11" t="inlineStr">
        <is>
          <t>1405/03/05</t>
        </is>
      </c>
      <c r="E221" s="13" t="n"/>
      <c r="F221" s="10" t="n">
        <v>34751</v>
      </c>
      <c r="G221" s="10" t="n">
        <v>1110763</v>
      </c>
      <c r="H221" s="11" t="inlineStr">
        <is>
          <t>Resistor 300K, 1%,1/16W</t>
        </is>
      </c>
      <c r="I221" s="11" t="inlineStr">
        <is>
          <t>عدد</t>
        </is>
      </c>
      <c r="J221" s="10" t="n">
        <v>1</v>
      </c>
      <c r="K221" s="10" t="n">
        <v>1</v>
      </c>
      <c r="L221" s="11" t="inlineStr">
        <is>
          <t>-</t>
        </is>
      </c>
      <c r="M221" s="13" t="n"/>
      <c r="N221" s="13" t="n"/>
      <c r="O221" s="10" t="n">
        <v>100</v>
      </c>
      <c r="P221" s="11" t="inlineStr">
        <is>
          <t>مصرف مستقیم</t>
        </is>
      </c>
      <c r="Q221" s="10">
        <f>SUMIFS('ورودی برنامه'!$D$4:$D$16,'ورودی برنامه'!$A$4:$A$16,A221,'ورودی برنامه'!$C$4:$C$16,C221)</f>
        <v>1460</v>
      </c>
      <c r="R221" s="10">
        <f>SUMIFS('ورودی برنامه'!$E$4:$E$16,'ورودی برنامه'!$A$4:$A$16,A221,'ورودی برنامه'!$C$4:$C$16,C221)</f>
        <v>1200</v>
      </c>
      <c r="S221" s="10">
        <f>ROUND(Q221*J221/K221*O221/100,10)</f>
        <v>1460</v>
      </c>
      <c r="T221" s="10">
        <f>ROUND(R221*J221/K221*O221/100,10)</f>
        <v>1200</v>
      </c>
      <c r="U221" s="10" t="n">
        <v>1460</v>
      </c>
      <c r="V221" s="10" t="n">
        <v>1200</v>
      </c>
    </row>
    <row r="222" ht="20" customHeight="1">
      <c r="A222" s="5" t="n">
        <v>1201605</v>
      </c>
      <c r="B222" s="6" t="inlineStr">
        <is>
          <t>جعبه الکترونیکی مونتاژ ماشینی شده NBCM_DENA_SBR-(BOT)</t>
        </is>
      </c>
      <c r="C222" s="6" t="inlineStr">
        <is>
          <t>13416020184</t>
        </is>
      </c>
      <c r="D222" s="6" t="inlineStr">
        <is>
          <t>1405/03/05</t>
        </is>
      </c>
      <c r="E222" s="9" t="n"/>
      <c r="F222" s="5" t="n">
        <v>34914</v>
      </c>
      <c r="G222" s="5" t="n">
        <v>1110764</v>
      </c>
      <c r="H222" s="6" t="inlineStr">
        <is>
          <t>Shunt 10mf</t>
        </is>
      </c>
      <c r="I222" s="6" t="inlineStr">
        <is>
          <t>عدد</t>
        </is>
      </c>
      <c r="J222" s="5" t="n">
        <v>4</v>
      </c>
      <c r="K222" s="5" t="n">
        <v>1</v>
      </c>
      <c r="L222" s="6" t="inlineStr">
        <is>
          <t>-</t>
        </is>
      </c>
      <c r="M222" s="9" t="n"/>
      <c r="N222" s="9" t="n"/>
      <c r="O222" s="5" t="n">
        <v>100</v>
      </c>
      <c r="P222" s="6" t="inlineStr">
        <is>
          <t>مصرف مستقیم</t>
        </is>
      </c>
      <c r="Q222" s="5">
        <f>SUMIFS('ورودی برنامه'!$D$4:$D$16,'ورودی برنامه'!$A$4:$A$16,A222,'ورودی برنامه'!$C$4:$C$16,C222)</f>
        <v>1460</v>
      </c>
      <c r="R222" s="5">
        <f>SUMIFS('ورودی برنامه'!$E$4:$E$16,'ورودی برنامه'!$A$4:$A$16,A222,'ورودی برنامه'!$C$4:$C$16,C222)</f>
        <v>1200</v>
      </c>
      <c r="S222" s="5">
        <f>ROUND(Q222*J222/K222*O222/100,10)</f>
        <v>5840</v>
      </c>
      <c r="T222" s="5">
        <f>ROUND(R222*J222/K222*O222/100,10)</f>
        <v>4800</v>
      </c>
      <c r="U222" s="5" t="n">
        <v>5840</v>
      </c>
      <c r="V222" s="5" t="n">
        <v>4800</v>
      </c>
    </row>
    <row r="223" ht="20" customHeight="1">
      <c r="A223" s="10" t="n">
        <v>1201605</v>
      </c>
      <c r="B223" s="11" t="inlineStr">
        <is>
          <t>جعبه الکترونیکی مونتاژ ماشینی شده NBCM_DENA_SBR-(BOT)</t>
        </is>
      </c>
      <c r="C223" s="11" t="inlineStr">
        <is>
          <t>13416020184</t>
        </is>
      </c>
      <c r="D223" s="11" t="inlineStr">
        <is>
          <t>1405/03/05</t>
        </is>
      </c>
      <c r="E223" s="13" t="n"/>
      <c r="F223" s="10" t="n">
        <v>34921</v>
      </c>
      <c r="G223" s="10" t="n">
        <v>1110766</v>
      </c>
      <c r="H223" s="11" t="inlineStr">
        <is>
          <t>Resistor 43K,1%,1/10W</t>
        </is>
      </c>
      <c r="I223" s="11" t="inlineStr">
        <is>
          <t>عدد</t>
        </is>
      </c>
      <c r="J223" s="10" t="n">
        <v>35</v>
      </c>
      <c r="K223" s="10" t="n">
        <v>1</v>
      </c>
      <c r="L223" s="11" t="inlineStr">
        <is>
          <t>-</t>
        </is>
      </c>
      <c r="M223" s="13" t="n"/>
      <c r="N223" s="13" t="n"/>
      <c r="O223" s="10" t="n">
        <v>100</v>
      </c>
      <c r="P223" s="11" t="inlineStr">
        <is>
          <t>مصرف مستقیم</t>
        </is>
      </c>
      <c r="Q223" s="10">
        <f>SUMIFS('ورودی برنامه'!$D$4:$D$16,'ورودی برنامه'!$A$4:$A$16,A223,'ورودی برنامه'!$C$4:$C$16,C223)</f>
        <v>1460</v>
      </c>
      <c r="R223" s="10">
        <f>SUMIFS('ورودی برنامه'!$E$4:$E$16,'ورودی برنامه'!$A$4:$A$16,A223,'ورودی برنامه'!$C$4:$C$16,C223)</f>
        <v>1200</v>
      </c>
      <c r="S223" s="10">
        <f>ROUND(Q223*J223/K223*O223/100,10)</f>
        <v>51100</v>
      </c>
      <c r="T223" s="10">
        <f>ROUND(R223*J223/K223*O223/100,10)</f>
        <v>42000</v>
      </c>
      <c r="U223" s="10" t="n">
        <v>51100</v>
      </c>
      <c r="V223" s="10" t="n">
        <v>42000</v>
      </c>
    </row>
    <row r="224" ht="20" customHeight="1">
      <c r="A224" s="5" t="n">
        <v>1201605</v>
      </c>
      <c r="B224" s="6" t="inlineStr">
        <is>
          <t>جعبه الکترونیکی مونتاژ ماشینی شده NBCM_DENA_SBR-(BOT)</t>
        </is>
      </c>
      <c r="C224" s="6" t="inlineStr">
        <is>
          <t>13416020184</t>
        </is>
      </c>
      <c r="D224" s="6" t="inlineStr">
        <is>
          <t>1405/03/05</t>
        </is>
      </c>
      <c r="E224" s="9" t="n"/>
      <c r="F224" s="5" t="n">
        <v>35131</v>
      </c>
      <c r="G224" s="5" t="n">
        <v>1110749</v>
      </c>
      <c r="H224" s="6" t="inlineStr">
        <is>
          <t>Resistor 47K ,1%,1/16W</t>
        </is>
      </c>
      <c r="I224" s="6" t="inlineStr">
        <is>
          <t>عدد</t>
        </is>
      </c>
      <c r="J224" s="5" t="n">
        <v>21</v>
      </c>
      <c r="K224" s="5" t="n">
        <v>1</v>
      </c>
      <c r="L224" s="6" t="inlineStr">
        <is>
          <t>-</t>
        </is>
      </c>
      <c r="M224" s="9" t="n"/>
      <c r="N224" s="9" t="n"/>
      <c r="O224" s="5" t="n">
        <v>100</v>
      </c>
      <c r="P224" s="6" t="inlineStr">
        <is>
          <t>مصرف مستقیم</t>
        </is>
      </c>
      <c r="Q224" s="5">
        <f>SUMIFS('ورودی برنامه'!$D$4:$D$16,'ورودی برنامه'!$A$4:$A$16,A224,'ورودی برنامه'!$C$4:$C$16,C224)</f>
        <v>1460</v>
      </c>
      <c r="R224" s="5">
        <f>SUMIFS('ورودی برنامه'!$E$4:$E$16,'ورودی برنامه'!$A$4:$A$16,A224,'ورودی برنامه'!$C$4:$C$16,C224)</f>
        <v>1200</v>
      </c>
      <c r="S224" s="5">
        <f>ROUND(Q224*J224/K224*O224/100,10)</f>
        <v>30660</v>
      </c>
      <c r="T224" s="5">
        <f>ROUND(R224*J224/K224*O224/100,10)</f>
        <v>25200</v>
      </c>
      <c r="U224" s="5" t="n">
        <v>30660</v>
      </c>
      <c r="V224" s="5" t="n">
        <v>25200</v>
      </c>
    </row>
    <row r="225" ht="20" customHeight="1">
      <c r="A225" s="10" t="n">
        <v>1201605</v>
      </c>
      <c r="B225" s="11" t="inlineStr">
        <is>
          <t>جعبه الکترونیکی مونتاژ ماشینی شده NBCM_DENA_SBR-(BOT)</t>
        </is>
      </c>
      <c r="C225" s="11" t="inlineStr">
        <is>
          <t>13416020184</t>
        </is>
      </c>
      <c r="D225" s="11" t="inlineStr">
        <is>
          <t>1405/03/05</t>
        </is>
      </c>
      <c r="E225" s="13" t="n"/>
      <c r="F225" s="10" t="n">
        <v>35406</v>
      </c>
      <c r="G225" s="10" t="n">
        <v>1110808</v>
      </c>
      <c r="H225" s="11" t="inlineStr">
        <is>
          <t>Diode Zener BZT52B5V6</t>
        </is>
      </c>
      <c r="I225" s="11" t="inlineStr">
        <is>
          <t>عدد</t>
        </is>
      </c>
      <c r="J225" s="10" t="n">
        <v>4</v>
      </c>
      <c r="K225" s="10" t="n">
        <v>1</v>
      </c>
      <c r="L225" s="11" t="inlineStr">
        <is>
          <t>-</t>
        </is>
      </c>
      <c r="M225" s="13" t="n"/>
      <c r="N225" s="13" t="n"/>
      <c r="O225" s="10" t="n">
        <v>100</v>
      </c>
      <c r="P225" s="11" t="inlineStr">
        <is>
          <t>مصرف مستقیم</t>
        </is>
      </c>
      <c r="Q225" s="10">
        <f>SUMIFS('ورودی برنامه'!$D$4:$D$16,'ورودی برنامه'!$A$4:$A$16,A225,'ورودی برنامه'!$C$4:$C$16,C225)</f>
        <v>1460</v>
      </c>
      <c r="R225" s="10">
        <f>SUMIFS('ورودی برنامه'!$E$4:$E$16,'ورودی برنامه'!$A$4:$A$16,A225,'ورودی برنامه'!$C$4:$C$16,C225)</f>
        <v>1200</v>
      </c>
      <c r="S225" s="10">
        <f>ROUND(Q225*J225/K225*O225/100,10)</f>
        <v>5840</v>
      </c>
      <c r="T225" s="10">
        <f>ROUND(R225*J225/K225*O225/100,10)</f>
        <v>4800</v>
      </c>
      <c r="U225" s="10" t="n">
        <v>5840</v>
      </c>
      <c r="V225" s="10" t="n">
        <v>4800</v>
      </c>
    </row>
    <row r="226" ht="20" customHeight="1">
      <c r="A226" s="5" t="n">
        <v>1201605</v>
      </c>
      <c r="B226" s="6" t="inlineStr">
        <is>
          <t>جعبه الکترونیکی مونتاژ ماشینی شده NBCM_DENA_SBR-(BOT)</t>
        </is>
      </c>
      <c r="C226" s="6" t="inlineStr">
        <is>
          <t>13416020184</t>
        </is>
      </c>
      <c r="D226" s="6" t="inlineStr">
        <is>
          <t>1405/03/05</t>
        </is>
      </c>
      <c r="E226" s="9" t="n"/>
      <c r="F226" s="5" t="n">
        <v>37552</v>
      </c>
      <c r="G226" s="5" t="n">
        <v>1110901</v>
      </c>
      <c r="H226" s="6" t="inlineStr">
        <is>
          <t>Diode 1N4007WS</t>
        </is>
      </c>
      <c r="I226" s="6" t="inlineStr">
        <is>
          <t>عدد</t>
        </is>
      </c>
      <c r="J226" s="5" t="n">
        <v>7</v>
      </c>
      <c r="K226" s="5" t="n">
        <v>1</v>
      </c>
      <c r="L226" s="6" t="inlineStr">
        <is>
          <t>-</t>
        </is>
      </c>
      <c r="M226" s="9" t="n"/>
      <c r="N226" s="9" t="n"/>
      <c r="O226" s="5" t="n">
        <v>100</v>
      </c>
      <c r="P226" s="6" t="inlineStr">
        <is>
          <t>مصرف مستقیم</t>
        </is>
      </c>
      <c r="Q226" s="5">
        <f>SUMIFS('ورودی برنامه'!$D$4:$D$16,'ورودی برنامه'!$A$4:$A$16,A226,'ورودی برنامه'!$C$4:$C$16,C226)</f>
        <v>1460</v>
      </c>
      <c r="R226" s="5">
        <f>SUMIFS('ورودی برنامه'!$E$4:$E$16,'ورودی برنامه'!$A$4:$A$16,A226,'ورودی برنامه'!$C$4:$C$16,C226)</f>
        <v>1200</v>
      </c>
      <c r="S226" s="5">
        <f>ROUND(Q226*J226/K226*O226/100,10)</f>
        <v>10220</v>
      </c>
      <c r="T226" s="5">
        <f>ROUND(R226*J226/K226*O226/100,10)</f>
        <v>8400</v>
      </c>
      <c r="U226" s="5" t="n">
        <v>10220</v>
      </c>
      <c r="V226" s="5" t="n">
        <v>8400</v>
      </c>
    </row>
    <row r="227" ht="20" customHeight="1">
      <c r="A227" s="10" t="n">
        <v>1201643</v>
      </c>
      <c r="B227" s="11" t="inlineStr">
        <is>
          <t>جعبه الکترونیکی کنترل ماشینی شده NBCM_DENA_SBR-TOP</t>
        </is>
      </c>
      <c r="C227" s="11" t="inlineStr">
        <is>
          <t>13416020183</t>
        </is>
      </c>
      <c r="D227" s="11" t="inlineStr">
        <is>
          <t>1405/03/05</t>
        </is>
      </c>
      <c r="E227" s="13" t="n"/>
      <c r="F227" s="10" t="n">
        <v>2060</v>
      </c>
      <c r="G227" s="10" t="n">
        <v>1111046</v>
      </c>
      <c r="H227" s="11" t="inlineStr">
        <is>
          <t>IC MCU,RH850/F1L R7F7010333AFP</t>
        </is>
      </c>
      <c r="I227" s="11" t="inlineStr">
        <is>
          <t>عدد</t>
        </is>
      </c>
      <c r="J227" s="10" t="n">
        <v>1</v>
      </c>
      <c r="K227" s="10" t="n">
        <v>1</v>
      </c>
      <c r="L227" s="11" t="inlineStr">
        <is>
          <t>8</t>
        </is>
      </c>
      <c r="M227" s="10" t="n">
        <v>2</v>
      </c>
      <c r="N227" s="10" t="n">
        <v>33</v>
      </c>
      <c r="O227" s="10">
        <f>N227</f>
        <v>33</v>
      </c>
      <c r="P227" s="11" t="inlineStr">
        <is>
          <t>سهم درصد استفاده BOM</t>
        </is>
      </c>
      <c r="Q227" s="10">
        <f>SUMIFS('ورودی برنامه'!$D$4:$D$16,'ورودی برنامه'!$A$4:$A$16,A227,'ورودی برنامه'!$C$4:$C$16,C227)</f>
        <v>1460</v>
      </c>
      <c r="R227" s="10">
        <f>SUMIFS('ورودی برنامه'!$E$4:$E$16,'ورودی برنامه'!$A$4:$A$16,A227,'ورودی برنامه'!$C$4:$C$16,C227)</f>
        <v>1200</v>
      </c>
      <c r="S227" s="10">
        <f>ROUND(Q227*J227/K227*O227/100,10)</f>
        <v>481.8</v>
      </c>
      <c r="T227" s="10">
        <f>ROUND(R227*J227/K227*O227/100,10)</f>
        <v>396</v>
      </c>
      <c r="U227" s="10" t="n">
        <v>0</v>
      </c>
      <c r="V227" s="10" t="n">
        <v>0</v>
      </c>
    </row>
    <row r="228" ht="20" customHeight="1">
      <c r="A228" s="5" t="n">
        <v>1201643</v>
      </c>
      <c r="B228" s="6" t="inlineStr">
        <is>
          <t>جعبه الکترونیکی کنترل ماشینی شده NBCM_DENA_SBR-TOP</t>
        </is>
      </c>
      <c r="C228" s="6" t="inlineStr">
        <is>
          <t>13416020183</t>
        </is>
      </c>
      <c r="D228" s="6" t="inlineStr">
        <is>
          <t>1405/03/05</t>
        </is>
      </c>
      <c r="E228" s="9" t="n"/>
      <c r="F228" s="5" t="n">
        <v>2208</v>
      </c>
      <c r="G228" s="5" t="n">
        <v>1111049</v>
      </c>
      <c r="H228" s="6" t="inlineStr">
        <is>
          <t>IC Microcontroller R7F7010343AFP</t>
        </is>
      </c>
      <c r="I228" s="6" t="inlineStr">
        <is>
          <t>عدد</t>
        </is>
      </c>
      <c r="J228" s="5" t="n">
        <v>1</v>
      </c>
      <c r="K228" s="5" t="n">
        <v>1</v>
      </c>
      <c r="L228" s="6" t="inlineStr">
        <is>
          <t>8</t>
        </is>
      </c>
      <c r="M228" s="5" t="n">
        <v>3</v>
      </c>
      <c r="N228" s="5" t="n">
        <v>33</v>
      </c>
      <c r="O228" s="5">
        <f>N228</f>
        <v>33</v>
      </c>
      <c r="P228" s="6" t="inlineStr">
        <is>
          <t>سهم درصد استفاده BOM</t>
        </is>
      </c>
      <c r="Q228" s="5">
        <f>SUMIFS('ورودی برنامه'!$D$4:$D$16,'ورودی برنامه'!$A$4:$A$16,A228,'ورودی برنامه'!$C$4:$C$16,C228)</f>
        <v>1460</v>
      </c>
      <c r="R228" s="5">
        <f>SUMIFS('ورودی برنامه'!$E$4:$E$16,'ورودی برنامه'!$A$4:$A$16,A228,'ورودی برنامه'!$C$4:$C$16,C228)</f>
        <v>1200</v>
      </c>
      <c r="S228" s="5">
        <f>ROUND(Q228*J228/K228*O228/100,10)</f>
        <v>481.8</v>
      </c>
      <c r="T228" s="5">
        <f>ROUND(R228*J228/K228*O228/100,10)</f>
        <v>396</v>
      </c>
      <c r="U228" s="5" t="n">
        <v>0</v>
      </c>
      <c r="V228" s="5" t="n">
        <v>0</v>
      </c>
    </row>
    <row r="229" ht="20" customHeight="1">
      <c r="A229" s="10" t="n">
        <v>1201643</v>
      </c>
      <c r="B229" s="11" t="inlineStr">
        <is>
          <t>جعبه الکترونیکی کنترل ماشینی شده NBCM_DENA_SBR-TOP</t>
        </is>
      </c>
      <c r="C229" s="11" t="inlineStr">
        <is>
          <t>13416020183</t>
        </is>
      </c>
      <c r="D229" s="11" t="inlineStr">
        <is>
          <t>1405/03/05</t>
        </is>
      </c>
      <c r="E229" s="13" t="n"/>
      <c r="F229" s="10" t="n">
        <v>2313</v>
      </c>
      <c r="G229" s="10" t="n">
        <v>1110398</v>
      </c>
      <c r="H229" s="11" t="inlineStr">
        <is>
          <t>Resistor 1.2K, 1%, 1/10W</t>
        </is>
      </c>
      <c r="I229" s="11" t="inlineStr">
        <is>
          <t>عدد</t>
        </is>
      </c>
      <c r="J229" s="10" t="n">
        <v>1</v>
      </c>
      <c r="K229" s="10" t="n">
        <v>1</v>
      </c>
      <c r="L229" s="11" t="inlineStr">
        <is>
          <t>-</t>
        </is>
      </c>
      <c r="M229" s="13" t="n"/>
      <c r="N229" s="13" t="n"/>
      <c r="O229" s="10" t="n">
        <v>100</v>
      </c>
      <c r="P229" s="11" t="inlineStr">
        <is>
          <t>مصرف مستقیم</t>
        </is>
      </c>
      <c r="Q229" s="10">
        <f>SUMIFS('ورودی برنامه'!$D$4:$D$16,'ورودی برنامه'!$A$4:$A$16,A229,'ورودی برنامه'!$C$4:$C$16,C229)</f>
        <v>1460</v>
      </c>
      <c r="R229" s="10">
        <f>SUMIFS('ورودی برنامه'!$E$4:$E$16,'ورودی برنامه'!$A$4:$A$16,A229,'ورودی برنامه'!$C$4:$C$16,C229)</f>
        <v>1200</v>
      </c>
      <c r="S229" s="10">
        <f>ROUND(Q229*J229/K229*O229/100,10)</f>
        <v>1460</v>
      </c>
      <c r="T229" s="10">
        <f>ROUND(R229*J229/K229*O229/100,10)</f>
        <v>1200</v>
      </c>
      <c r="U229" s="10" t="n">
        <v>1460</v>
      </c>
      <c r="V229" s="10" t="n">
        <v>1200</v>
      </c>
    </row>
    <row r="230" ht="20" customHeight="1">
      <c r="A230" s="5" t="n">
        <v>1201643</v>
      </c>
      <c r="B230" s="6" t="inlineStr">
        <is>
          <t>جعبه الکترونیکی کنترل ماشینی شده NBCM_DENA_SBR-TOP</t>
        </is>
      </c>
      <c r="C230" s="6" t="inlineStr">
        <is>
          <t>13416020183</t>
        </is>
      </c>
      <c r="D230" s="6" t="inlineStr">
        <is>
          <t>1405/03/05</t>
        </is>
      </c>
      <c r="E230" s="9" t="n"/>
      <c r="F230" s="5" t="n">
        <v>4935</v>
      </c>
      <c r="G230" s="5" t="n">
        <v>1201605</v>
      </c>
      <c r="H230" s="6" t="inlineStr">
        <is>
          <t>جعبه الکترونیکی مونتاژ ماشینی شده NBCM_DENA_SBR-(BOT)</t>
        </is>
      </c>
      <c r="I230" s="6" t="inlineStr">
        <is>
          <t>عدد(شمارشی)</t>
        </is>
      </c>
      <c r="J230" s="5" t="n">
        <v>1</v>
      </c>
      <c r="K230" s="5" t="n">
        <v>1</v>
      </c>
      <c r="L230" s="6" t="inlineStr">
        <is>
          <t>-</t>
        </is>
      </c>
      <c r="M230" s="9" t="n"/>
      <c r="N230" s="9" t="n"/>
      <c r="O230" s="5" t="n">
        <v>100</v>
      </c>
      <c r="P230" s="6" t="inlineStr">
        <is>
          <t>مصرف مستقیم</t>
        </is>
      </c>
      <c r="Q230" s="5">
        <f>SUMIFS('ورودی برنامه'!$D$4:$D$16,'ورودی برنامه'!$A$4:$A$16,A230,'ورودی برنامه'!$C$4:$C$16,C230)</f>
        <v>1460</v>
      </c>
      <c r="R230" s="5">
        <f>SUMIFS('ورودی برنامه'!$E$4:$E$16,'ورودی برنامه'!$A$4:$A$16,A230,'ورودی برنامه'!$C$4:$C$16,C230)</f>
        <v>1200</v>
      </c>
      <c r="S230" s="5">
        <f>ROUND(Q230*J230/K230*O230/100,10)</f>
        <v>1460</v>
      </c>
      <c r="T230" s="5">
        <f>ROUND(R230*J230/K230*O230/100,10)</f>
        <v>1200</v>
      </c>
      <c r="U230" s="5" t="n">
        <v>1460</v>
      </c>
      <c r="V230" s="5" t="n">
        <v>1200</v>
      </c>
    </row>
    <row r="231" ht="20" customHeight="1">
      <c r="A231" s="10" t="n">
        <v>1201643</v>
      </c>
      <c r="B231" s="11" t="inlineStr">
        <is>
          <t>جعبه الکترونیکی کنترل ماشینی شده NBCM_DENA_SBR-TOP</t>
        </is>
      </c>
      <c r="C231" s="11" t="inlineStr">
        <is>
          <t>13416020183</t>
        </is>
      </c>
      <c r="D231" s="11" t="inlineStr">
        <is>
          <t>1405/03/05</t>
        </is>
      </c>
      <c r="E231" s="13" t="n"/>
      <c r="F231" s="10" t="n">
        <v>6026</v>
      </c>
      <c r="G231" s="10" t="n">
        <v>1110303</v>
      </c>
      <c r="H231" s="11" t="inlineStr">
        <is>
          <t>Resistor 4.7K,5%,1/12W</t>
        </is>
      </c>
      <c r="I231" s="11" t="inlineStr">
        <is>
          <t>عدد</t>
        </is>
      </c>
      <c r="J231" s="10" t="n">
        <v>46</v>
      </c>
      <c r="K231" s="10" t="n">
        <v>1</v>
      </c>
      <c r="L231" s="11" t="inlineStr">
        <is>
          <t>2</t>
        </is>
      </c>
      <c r="M231" s="10" t="n">
        <v>1</v>
      </c>
      <c r="N231" s="10" t="n">
        <v>50</v>
      </c>
      <c r="O231" s="10">
        <f>N231</f>
        <v>50</v>
      </c>
      <c r="P231" s="11" t="inlineStr">
        <is>
          <t>سهم درصد استفاده BOM</t>
        </is>
      </c>
      <c r="Q231" s="10">
        <f>SUMIFS('ورودی برنامه'!$D$4:$D$16,'ورودی برنامه'!$A$4:$A$16,A231,'ورودی برنامه'!$C$4:$C$16,C231)</f>
        <v>1460</v>
      </c>
      <c r="R231" s="10">
        <f>SUMIFS('ورودی برنامه'!$E$4:$E$16,'ورودی برنامه'!$A$4:$A$16,A231,'ورودی برنامه'!$C$4:$C$16,C231)</f>
        <v>1200</v>
      </c>
      <c r="S231" s="10">
        <f>ROUND(Q231*J231/K231*O231/100,10)</f>
        <v>33580</v>
      </c>
      <c r="T231" s="10">
        <f>ROUND(R231*J231/K231*O231/100,10)</f>
        <v>27600</v>
      </c>
      <c r="U231" s="10" t="n">
        <v>66180</v>
      </c>
      <c r="V231" s="10" t="n">
        <v>55200</v>
      </c>
    </row>
    <row r="232" ht="20" customHeight="1">
      <c r="A232" s="5" t="n">
        <v>1201643</v>
      </c>
      <c r="B232" s="6" t="inlineStr">
        <is>
          <t>جعبه الکترونیکی کنترل ماشینی شده NBCM_DENA_SBR-TOP</t>
        </is>
      </c>
      <c r="C232" s="6" t="inlineStr">
        <is>
          <t>13416020183</t>
        </is>
      </c>
      <c r="D232" s="6" t="inlineStr">
        <is>
          <t>1405/03/05</t>
        </is>
      </c>
      <c r="E232" s="9" t="n"/>
      <c r="F232" s="5" t="n">
        <v>9305</v>
      </c>
      <c r="G232" s="5" t="n">
        <v>1110075</v>
      </c>
      <c r="H232" s="6" t="inlineStr">
        <is>
          <t>Capacitor 10N,50V,X7R,10%</t>
        </is>
      </c>
      <c r="I232" s="6" t="inlineStr">
        <is>
          <t>عدد</t>
        </is>
      </c>
      <c r="J232" s="5" t="n">
        <v>31</v>
      </c>
      <c r="K232" s="5" t="n">
        <v>1</v>
      </c>
      <c r="L232" s="6" t="inlineStr">
        <is>
          <t>-</t>
        </is>
      </c>
      <c r="M232" s="9" t="n"/>
      <c r="N232" s="9" t="n"/>
      <c r="O232" s="5" t="n">
        <v>100</v>
      </c>
      <c r="P232" s="6" t="inlineStr">
        <is>
          <t>مصرف مستقیم</t>
        </is>
      </c>
      <c r="Q232" s="5">
        <f>SUMIFS('ورودی برنامه'!$D$4:$D$16,'ورودی برنامه'!$A$4:$A$16,A232,'ورودی برنامه'!$C$4:$C$16,C232)</f>
        <v>1460</v>
      </c>
      <c r="R232" s="5">
        <f>SUMIFS('ورودی برنامه'!$E$4:$E$16,'ورودی برنامه'!$A$4:$A$16,A232,'ورودی برنامه'!$C$4:$C$16,C232)</f>
        <v>1200</v>
      </c>
      <c r="S232" s="5">
        <f>ROUND(Q232*J232/K232*O232/100,10)</f>
        <v>45260</v>
      </c>
      <c r="T232" s="5">
        <f>ROUND(R232*J232/K232*O232/100,10)</f>
        <v>37200</v>
      </c>
      <c r="U232" s="5" t="n">
        <v>45260</v>
      </c>
      <c r="V232" s="5" t="n">
        <v>37200</v>
      </c>
    </row>
    <row r="233" ht="20" customHeight="1">
      <c r="A233" s="10" t="n">
        <v>1201643</v>
      </c>
      <c r="B233" s="11" t="inlineStr">
        <is>
          <t>جعبه الکترونیکی کنترل ماشینی شده NBCM_DENA_SBR-TOP</t>
        </is>
      </c>
      <c r="C233" s="11" t="inlineStr">
        <is>
          <t>13416020183</t>
        </is>
      </c>
      <c r="D233" s="11" t="inlineStr">
        <is>
          <t>1405/03/05</t>
        </is>
      </c>
      <c r="E233" s="13" t="n"/>
      <c r="F233" s="10" t="n">
        <v>15345</v>
      </c>
      <c r="G233" s="10" t="n">
        <v>1110401</v>
      </c>
      <c r="H233" s="11" t="inlineStr">
        <is>
          <t>IC ULQ2003D1013TRY</t>
        </is>
      </c>
      <c r="I233" s="11" t="inlineStr">
        <is>
          <t>عدد</t>
        </is>
      </c>
      <c r="J233" s="10" t="n">
        <v>1</v>
      </c>
      <c r="K233" s="10" t="n">
        <v>1</v>
      </c>
      <c r="L233" s="11" t="inlineStr">
        <is>
          <t>-</t>
        </is>
      </c>
      <c r="M233" s="13" t="n"/>
      <c r="N233" s="13" t="n"/>
      <c r="O233" s="10" t="n">
        <v>100</v>
      </c>
      <c r="P233" s="11" t="inlineStr">
        <is>
          <t>مصرف مستقیم</t>
        </is>
      </c>
      <c r="Q233" s="10">
        <f>SUMIFS('ورودی برنامه'!$D$4:$D$16,'ورودی برنامه'!$A$4:$A$16,A233,'ورودی برنامه'!$C$4:$C$16,C233)</f>
        <v>1460</v>
      </c>
      <c r="R233" s="10">
        <f>SUMIFS('ورودی برنامه'!$E$4:$E$16,'ورودی برنامه'!$A$4:$A$16,A233,'ورودی برنامه'!$C$4:$C$16,C233)</f>
        <v>1200</v>
      </c>
      <c r="S233" s="10">
        <f>ROUND(Q233*J233/K233*O233/100,10)</f>
        <v>1460</v>
      </c>
      <c r="T233" s="10">
        <f>ROUND(R233*J233/K233*O233/100,10)</f>
        <v>1200</v>
      </c>
      <c r="U233" s="10" t="n">
        <v>1460</v>
      </c>
      <c r="V233" s="10" t="n">
        <v>1200</v>
      </c>
    </row>
    <row r="234" ht="20" customHeight="1">
      <c r="A234" s="5" t="n">
        <v>1201643</v>
      </c>
      <c r="B234" s="6" t="inlineStr">
        <is>
          <t>جعبه الکترونیکی کنترل ماشینی شده NBCM_DENA_SBR-TOP</t>
        </is>
      </c>
      <c r="C234" s="6" t="inlineStr">
        <is>
          <t>13416020183</t>
        </is>
      </c>
      <c r="D234" s="6" t="inlineStr">
        <is>
          <t>1405/03/05</t>
        </is>
      </c>
      <c r="E234" s="9" t="n"/>
      <c r="F234" s="5" t="n">
        <v>15838</v>
      </c>
      <c r="G234" s="5" t="n">
        <v>1110337</v>
      </c>
      <c r="H234" s="6" t="inlineStr">
        <is>
          <t>Resistor 22K,5%,1/12W</t>
        </is>
      </c>
      <c r="I234" s="6" t="inlineStr">
        <is>
          <t>عدد</t>
        </is>
      </c>
      <c r="J234" s="5" t="n">
        <v>21</v>
      </c>
      <c r="K234" s="5" t="n">
        <v>1</v>
      </c>
      <c r="L234" s="6" t="inlineStr">
        <is>
          <t>5</t>
        </is>
      </c>
      <c r="M234" s="5" t="n">
        <v>1</v>
      </c>
      <c r="N234" s="5" t="n">
        <v>50</v>
      </c>
      <c r="O234" s="5">
        <f>N234</f>
        <v>50</v>
      </c>
      <c r="P234" s="6" t="inlineStr">
        <is>
          <t>سهم درصد استفاده BOM</t>
        </is>
      </c>
      <c r="Q234" s="5">
        <f>SUMIFS('ورودی برنامه'!$D$4:$D$16,'ورودی برنامه'!$A$4:$A$16,A234,'ورودی برنامه'!$C$4:$C$16,C234)</f>
        <v>1460</v>
      </c>
      <c r="R234" s="5">
        <f>SUMIFS('ورودی برنامه'!$E$4:$E$16,'ورودی برنامه'!$A$4:$A$16,A234,'ورودی برنامه'!$C$4:$C$16,C234)</f>
        <v>1200</v>
      </c>
      <c r="S234" s="5">
        <f>ROUND(Q234*J234/K234*O234/100,10)</f>
        <v>15330</v>
      </c>
      <c r="T234" s="5">
        <f>ROUND(R234*J234/K234*O234/100,10)</f>
        <v>12600</v>
      </c>
      <c r="U234" s="5" t="n">
        <v>30660</v>
      </c>
      <c r="V234" s="5" t="n">
        <v>25200</v>
      </c>
    </row>
    <row r="235" ht="20" customHeight="1">
      <c r="A235" s="10" t="n">
        <v>1201643</v>
      </c>
      <c r="B235" s="11" t="inlineStr">
        <is>
          <t>جعبه الکترونیکی کنترل ماشینی شده NBCM_DENA_SBR-TOP</t>
        </is>
      </c>
      <c r="C235" s="11" t="inlineStr">
        <is>
          <t>13416020183</t>
        </is>
      </c>
      <c r="D235" s="11" t="inlineStr">
        <is>
          <t>1405/03/05</t>
        </is>
      </c>
      <c r="E235" s="13" t="n"/>
      <c r="F235" s="10" t="n">
        <v>17288</v>
      </c>
      <c r="G235" s="10" t="n">
        <v>1110630</v>
      </c>
      <c r="H235" s="11" t="inlineStr">
        <is>
          <t>ESD Protection</t>
        </is>
      </c>
      <c r="I235" s="11" t="inlineStr">
        <is>
          <t>عدد</t>
        </is>
      </c>
      <c r="J235" s="10" t="n">
        <v>2</v>
      </c>
      <c r="K235" s="10" t="n">
        <v>1</v>
      </c>
      <c r="L235" s="11" t="inlineStr">
        <is>
          <t>-</t>
        </is>
      </c>
      <c r="M235" s="13" t="n"/>
      <c r="N235" s="13" t="n"/>
      <c r="O235" s="10" t="n">
        <v>100</v>
      </c>
      <c r="P235" s="11" t="inlineStr">
        <is>
          <t>مصرف مستقیم</t>
        </is>
      </c>
      <c r="Q235" s="10">
        <f>SUMIFS('ورودی برنامه'!$D$4:$D$16,'ورودی برنامه'!$A$4:$A$16,A235,'ورودی برنامه'!$C$4:$C$16,C235)</f>
        <v>1460</v>
      </c>
      <c r="R235" s="10">
        <f>SUMIFS('ورودی برنامه'!$E$4:$E$16,'ورودی برنامه'!$A$4:$A$16,A235,'ورودی برنامه'!$C$4:$C$16,C235)</f>
        <v>1200</v>
      </c>
      <c r="S235" s="10">
        <f>ROUND(Q235*J235/K235*O235/100,10)</f>
        <v>2920</v>
      </c>
      <c r="T235" s="10">
        <f>ROUND(R235*J235/K235*O235/100,10)</f>
        <v>2400</v>
      </c>
      <c r="U235" s="10" t="n">
        <v>2920</v>
      </c>
      <c r="V235" s="10" t="n">
        <v>2400</v>
      </c>
    </row>
    <row r="236" ht="20" customHeight="1">
      <c r="A236" s="5" t="n">
        <v>1201643</v>
      </c>
      <c r="B236" s="6" t="inlineStr">
        <is>
          <t>جعبه الکترونیکی کنترل ماشینی شده NBCM_DENA_SBR-TOP</t>
        </is>
      </c>
      <c r="C236" s="6" t="inlineStr">
        <is>
          <t>13416020183</t>
        </is>
      </c>
      <c r="D236" s="6" t="inlineStr">
        <is>
          <t>1405/03/05</t>
        </is>
      </c>
      <c r="E236" s="9" t="n"/>
      <c r="F236" s="5" t="n">
        <v>17593</v>
      </c>
      <c r="G236" s="5" t="n">
        <v>1110456</v>
      </c>
      <c r="H236" s="6" t="inlineStr">
        <is>
          <t>IC CAN Transceiver TJA1055T</t>
        </is>
      </c>
      <c r="I236" s="6" t="inlineStr">
        <is>
          <t>عدد</t>
        </is>
      </c>
      <c r="J236" s="5" t="n">
        <v>1</v>
      </c>
      <c r="K236" s="5" t="n">
        <v>1</v>
      </c>
      <c r="L236" s="6" t="inlineStr">
        <is>
          <t>-</t>
        </is>
      </c>
      <c r="M236" s="9" t="n"/>
      <c r="N236" s="9" t="n"/>
      <c r="O236" s="5" t="n">
        <v>100</v>
      </c>
      <c r="P236" s="6" t="inlineStr">
        <is>
          <t>مصرف مستقیم</t>
        </is>
      </c>
      <c r="Q236" s="5">
        <f>SUMIFS('ورودی برنامه'!$D$4:$D$16,'ورودی برنامه'!$A$4:$A$16,A236,'ورودی برنامه'!$C$4:$C$16,C236)</f>
        <v>1460</v>
      </c>
      <c r="R236" s="5">
        <f>SUMIFS('ورودی برنامه'!$E$4:$E$16,'ورودی برنامه'!$A$4:$A$16,A236,'ورودی برنامه'!$C$4:$C$16,C236)</f>
        <v>1200</v>
      </c>
      <c r="S236" s="5">
        <f>ROUND(Q236*J236/K236*O236/100,10)</f>
        <v>1460</v>
      </c>
      <c r="T236" s="5">
        <f>ROUND(R236*J236/K236*O236/100,10)</f>
        <v>1200</v>
      </c>
      <c r="U236" s="5" t="n">
        <v>1460</v>
      </c>
      <c r="V236" s="5" t="n">
        <v>1200</v>
      </c>
    </row>
    <row r="237" ht="20" customHeight="1">
      <c r="A237" s="10" t="n">
        <v>1201643</v>
      </c>
      <c r="B237" s="11" t="inlineStr">
        <is>
          <t>جعبه الکترونیکی کنترل ماشینی شده NBCM_DENA_SBR-TOP</t>
        </is>
      </c>
      <c r="C237" s="11" t="inlineStr">
        <is>
          <t>13416020183</t>
        </is>
      </c>
      <c r="D237" s="11" t="inlineStr">
        <is>
          <t>1405/03/05</t>
        </is>
      </c>
      <c r="E237" s="13" t="n"/>
      <c r="F237" s="10" t="n">
        <v>18519</v>
      </c>
      <c r="G237" s="10" t="n">
        <v>1110279</v>
      </c>
      <c r="H237" s="11" t="inlineStr">
        <is>
          <t>Resistor 1.4K,1%,1/4W</t>
        </is>
      </c>
      <c r="I237" s="11" t="inlineStr">
        <is>
          <t>عدد</t>
        </is>
      </c>
      <c r="J237" s="10" t="n">
        <v>17</v>
      </c>
      <c r="K237" s="10" t="n">
        <v>1</v>
      </c>
      <c r="L237" s="11" t="inlineStr">
        <is>
          <t>-</t>
        </is>
      </c>
      <c r="M237" s="13" t="n"/>
      <c r="N237" s="13" t="n"/>
      <c r="O237" s="10" t="n">
        <v>100</v>
      </c>
      <c r="P237" s="11" t="inlineStr">
        <is>
          <t>مصرف مستقیم</t>
        </is>
      </c>
      <c r="Q237" s="10">
        <f>SUMIFS('ورودی برنامه'!$D$4:$D$16,'ورودی برنامه'!$A$4:$A$16,A237,'ورودی برنامه'!$C$4:$C$16,C237)</f>
        <v>1460</v>
      </c>
      <c r="R237" s="10">
        <f>SUMIFS('ورودی برنامه'!$E$4:$E$16,'ورودی برنامه'!$A$4:$A$16,A237,'ورودی برنامه'!$C$4:$C$16,C237)</f>
        <v>1200</v>
      </c>
      <c r="S237" s="10">
        <f>ROUND(Q237*J237/K237*O237/100,10)</f>
        <v>24820</v>
      </c>
      <c r="T237" s="10">
        <f>ROUND(R237*J237/K237*O237/100,10)</f>
        <v>20400</v>
      </c>
      <c r="U237" s="10" t="n">
        <v>24820</v>
      </c>
      <c r="V237" s="10" t="n">
        <v>20400</v>
      </c>
    </row>
    <row r="238" ht="20" customHeight="1">
      <c r="A238" s="5" t="n">
        <v>1201643</v>
      </c>
      <c r="B238" s="6" t="inlineStr">
        <is>
          <t>جعبه الکترونیکی کنترل ماشینی شده NBCM_DENA_SBR-TOP</t>
        </is>
      </c>
      <c r="C238" s="6" t="inlineStr">
        <is>
          <t>13416020183</t>
        </is>
      </c>
      <c r="D238" s="6" t="inlineStr">
        <is>
          <t>1405/03/05</t>
        </is>
      </c>
      <c r="E238" s="9" t="n"/>
      <c r="F238" s="5" t="n">
        <v>18857</v>
      </c>
      <c r="G238" s="5" t="n">
        <v>1110090</v>
      </c>
      <c r="H238" s="6" t="inlineStr">
        <is>
          <t>Capacitor 220uF,35V,20%,105C</t>
        </is>
      </c>
      <c r="I238" s="6" t="inlineStr">
        <is>
          <t>عدد</t>
        </is>
      </c>
      <c r="J238" s="5" t="n">
        <v>2</v>
      </c>
      <c r="K238" s="5" t="n">
        <v>1</v>
      </c>
      <c r="L238" s="6" t="inlineStr">
        <is>
          <t>1</t>
        </is>
      </c>
      <c r="M238" s="5" t="n">
        <v>1</v>
      </c>
      <c r="N238" s="5" t="n">
        <v>50</v>
      </c>
      <c r="O238" s="5">
        <f>N238</f>
        <v>50</v>
      </c>
      <c r="P238" s="6" t="inlineStr">
        <is>
          <t>سهم درصد استفاده BOM</t>
        </is>
      </c>
      <c r="Q238" s="5">
        <f>SUMIFS('ورودی برنامه'!$D$4:$D$16,'ورودی برنامه'!$A$4:$A$16,A238,'ورودی برنامه'!$C$4:$C$16,C238)</f>
        <v>1460</v>
      </c>
      <c r="R238" s="5">
        <f>SUMIFS('ورودی برنامه'!$E$4:$E$16,'ورودی برنامه'!$A$4:$A$16,A238,'ورودی برنامه'!$C$4:$C$16,C238)</f>
        <v>1200</v>
      </c>
      <c r="S238" s="5">
        <f>ROUND(Q238*J238/K238*O238/100,10)</f>
        <v>1460</v>
      </c>
      <c r="T238" s="5">
        <f>ROUND(R238*J238/K238*O238/100,10)</f>
        <v>1200</v>
      </c>
      <c r="U238" s="5" t="n">
        <v>2920</v>
      </c>
      <c r="V238" s="5" t="n">
        <v>2400</v>
      </c>
    </row>
    <row r="239" ht="20" customHeight="1">
      <c r="A239" s="10" t="n">
        <v>1201643</v>
      </c>
      <c r="B239" s="11" t="inlineStr">
        <is>
          <t>جعبه الکترونیکی کنترل ماشینی شده NBCM_DENA_SBR-TOP</t>
        </is>
      </c>
      <c r="C239" s="11" t="inlineStr">
        <is>
          <t>13416020183</t>
        </is>
      </c>
      <c r="D239" s="11" t="inlineStr">
        <is>
          <t>1405/03/05</t>
        </is>
      </c>
      <c r="E239" s="13" t="n"/>
      <c r="F239" s="10" t="n">
        <v>22021</v>
      </c>
      <c r="G239" s="10" t="n">
        <v>1111010</v>
      </c>
      <c r="H239" s="11" t="inlineStr">
        <is>
          <t>Crystal 8MHZ,10PPM,HC-49</t>
        </is>
      </c>
      <c r="I239" s="11" t="inlineStr">
        <is>
          <t>عدد</t>
        </is>
      </c>
      <c r="J239" s="10" t="n">
        <v>1</v>
      </c>
      <c r="K239" s="10" t="n">
        <v>1</v>
      </c>
      <c r="L239" s="11" t="inlineStr">
        <is>
          <t>-</t>
        </is>
      </c>
      <c r="M239" s="13" t="n"/>
      <c r="N239" s="13" t="n"/>
      <c r="O239" s="10" t="n">
        <v>100</v>
      </c>
      <c r="P239" s="11" t="inlineStr">
        <is>
          <t>مصرف مستقیم</t>
        </is>
      </c>
      <c r="Q239" s="10">
        <f>SUMIFS('ورودی برنامه'!$D$4:$D$16,'ورودی برنامه'!$A$4:$A$16,A239,'ورودی برنامه'!$C$4:$C$16,C239)</f>
        <v>1460</v>
      </c>
      <c r="R239" s="10">
        <f>SUMIFS('ورودی برنامه'!$E$4:$E$16,'ورودی برنامه'!$A$4:$A$16,A239,'ورودی برنامه'!$C$4:$C$16,C239)</f>
        <v>1200</v>
      </c>
      <c r="S239" s="10">
        <f>ROUND(Q239*J239/K239*O239/100,10)</f>
        <v>1460</v>
      </c>
      <c r="T239" s="10">
        <f>ROUND(R239*J239/K239*O239/100,10)</f>
        <v>1200</v>
      </c>
      <c r="U239" s="10" t="n">
        <v>1460</v>
      </c>
      <c r="V239" s="10" t="n">
        <v>1200</v>
      </c>
    </row>
    <row r="240" ht="20" customHeight="1">
      <c r="A240" s="5" t="n">
        <v>1201643</v>
      </c>
      <c r="B240" s="6" t="inlineStr">
        <is>
          <t>جعبه الکترونیکی کنترل ماشینی شده NBCM_DENA_SBR-TOP</t>
        </is>
      </c>
      <c r="C240" s="6" t="inlineStr">
        <is>
          <t>13416020183</t>
        </is>
      </c>
      <c r="D240" s="6" t="inlineStr">
        <is>
          <t>1405/03/05</t>
        </is>
      </c>
      <c r="E240" s="9" t="n"/>
      <c r="F240" s="5" t="n">
        <v>23730</v>
      </c>
      <c r="G240" s="5" t="n">
        <v>1110271</v>
      </c>
      <c r="H240" s="6" t="inlineStr">
        <is>
          <t>Resistor 680, 1%, 1/2W</t>
        </is>
      </c>
      <c r="I240" s="6" t="inlineStr">
        <is>
          <t>عدد</t>
        </is>
      </c>
      <c r="J240" s="5" t="n">
        <v>2</v>
      </c>
      <c r="K240" s="5" t="n">
        <v>1</v>
      </c>
      <c r="L240" s="6" t="inlineStr">
        <is>
          <t>-</t>
        </is>
      </c>
      <c r="M240" s="9" t="n"/>
      <c r="N240" s="9" t="n"/>
      <c r="O240" s="5" t="n">
        <v>100</v>
      </c>
      <c r="P240" s="6" t="inlineStr">
        <is>
          <t>مصرف مستقیم</t>
        </is>
      </c>
      <c r="Q240" s="5">
        <f>SUMIFS('ورودی برنامه'!$D$4:$D$16,'ورودی برنامه'!$A$4:$A$16,A240,'ورودی برنامه'!$C$4:$C$16,C240)</f>
        <v>1460</v>
      </c>
      <c r="R240" s="5">
        <f>SUMIFS('ورودی برنامه'!$E$4:$E$16,'ورودی برنامه'!$A$4:$A$16,A240,'ورودی برنامه'!$C$4:$C$16,C240)</f>
        <v>1200</v>
      </c>
      <c r="S240" s="5">
        <f>ROUND(Q240*J240/K240*O240/100,10)</f>
        <v>2920</v>
      </c>
      <c r="T240" s="5">
        <f>ROUND(R240*J240/K240*O240/100,10)</f>
        <v>2400</v>
      </c>
      <c r="U240" s="5" t="n">
        <v>2920</v>
      </c>
      <c r="V240" s="5" t="n">
        <v>2400</v>
      </c>
    </row>
    <row r="241" ht="20" customHeight="1">
      <c r="A241" s="10" t="n">
        <v>1201643</v>
      </c>
      <c r="B241" s="11" t="inlineStr">
        <is>
          <t>جعبه الکترونیکی کنترل ماشینی شده NBCM_DENA_SBR-TOP</t>
        </is>
      </c>
      <c r="C241" s="11" t="inlineStr">
        <is>
          <t>13416020183</t>
        </is>
      </c>
      <c r="D241" s="11" t="inlineStr">
        <is>
          <t>1405/03/05</t>
        </is>
      </c>
      <c r="E241" s="13" t="n"/>
      <c r="F241" s="10" t="n">
        <v>23960</v>
      </c>
      <c r="G241" s="10" t="n">
        <v>1110388</v>
      </c>
      <c r="H241" s="11" t="inlineStr">
        <is>
          <t>Resistor 100K,1%,1/10W</t>
        </is>
      </c>
      <c r="I241" s="11" t="inlineStr">
        <is>
          <t>عدد</t>
        </is>
      </c>
      <c r="J241" s="10" t="n">
        <v>1</v>
      </c>
      <c r="K241" s="10" t="n">
        <v>1</v>
      </c>
      <c r="L241" s="11" t="inlineStr">
        <is>
          <t>-</t>
        </is>
      </c>
      <c r="M241" s="13" t="n"/>
      <c r="N241" s="13" t="n"/>
      <c r="O241" s="10" t="n">
        <v>100</v>
      </c>
      <c r="P241" s="11" t="inlineStr">
        <is>
          <t>مصرف مستقیم</t>
        </is>
      </c>
      <c r="Q241" s="10">
        <f>SUMIFS('ورودی برنامه'!$D$4:$D$16,'ورودی برنامه'!$A$4:$A$16,A241,'ورودی برنامه'!$C$4:$C$16,C241)</f>
        <v>1460</v>
      </c>
      <c r="R241" s="10">
        <f>SUMIFS('ورودی برنامه'!$E$4:$E$16,'ورودی برنامه'!$A$4:$A$16,A241,'ورودی برنامه'!$C$4:$C$16,C241)</f>
        <v>1200</v>
      </c>
      <c r="S241" s="10">
        <f>ROUND(Q241*J241/K241*O241/100,10)</f>
        <v>1460</v>
      </c>
      <c r="T241" s="10">
        <f>ROUND(R241*J241/K241*O241/100,10)</f>
        <v>1200</v>
      </c>
      <c r="U241" s="10" t="n">
        <v>1460</v>
      </c>
      <c r="V241" s="10" t="n">
        <v>1200</v>
      </c>
    </row>
    <row r="242" ht="20" customHeight="1">
      <c r="A242" s="5" t="n">
        <v>1201643</v>
      </c>
      <c r="B242" s="6" t="inlineStr">
        <is>
          <t>جعبه الکترونیکی کنترل ماشینی شده NBCM_DENA_SBR-TOP</t>
        </is>
      </c>
      <c r="C242" s="6" t="inlineStr">
        <is>
          <t>13416020183</t>
        </is>
      </c>
      <c r="D242" s="6" t="inlineStr">
        <is>
          <t>1405/03/05</t>
        </is>
      </c>
      <c r="E242" s="9" t="n"/>
      <c r="F242" s="5" t="n">
        <v>24196</v>
      </c>
      <c r="G242" s="5" t="n">
        <v>1110095</v>
      </c>
      <c r="H242" s="6" t="inlineStr">
        <is>
          <t>Capacitor 100nF,X7R,50V,10%</t>
        </is>
      </c>
      <c r="I242" s="6" t="inlineStr">
        <is>
          <t>عدد</t>
        </is>
      </c>
      <c r="J242" s="5" t="n">
        <v>25</v>
      </c>
      <c r="K242" s="5" t="n">
        <v>1</v>
      </c>
      <c r="L242" s="6" t="inlineStr">
        <is>
          <t>-</t>
        </is>
      </c>
      <c r="M242" s="9" t="n"/>
      <c r="N242" s="9" t="n"/>
      <c r="O242" s="5" t="n">
        <v>100</v>
      </c>
      <c r="P242" s="6" t="inlineStr">
        <is>
          <t>مصرف مستقیم</t>
        </is>
      </c>
      <c r="Q242" s="5">
        <f>SUMIFS('ورودی برنامه'!$D$4:$D$16,'ورودی برنامه'!$A$4:$A$16,A242,'ورودی برنامه'!$C$4:$C$16,C242)</f>
        <v>1460</v>
      </c>
      <c r="R242" s="5">
        <f>SUMIFS('ورودی برنامه'!$E$4:$E$16,'ورودی برنامه'!$A$4:$A$16,A242,'ورودی برنامه'!$C$4:$C$16,C242)</f>
        <v>1200</v>
      </c>
      <c r="S242" s="5">
        <f>ROUND(Q242*J242/K242*O242/100,10)</f>
        <v>36500</v>
      </c>
      <c r="T242" s="5">
        <f>ROUND(R242*J242/K242*O242/100,10)</f>
        <v>30000</v>
      </c>
      <c r="U242" s="5" t="n">
        <v>36500</v>
      </c>
      <c r="V242" s="5" t="n">
        <v>30000</v>
      </c>
    </row>
    <row r="243" ht="20" customHeight="1">
      <c r="A243" s="10" t="n">
        <v>1201643</v>
      </c>
      <c r="B243" s="11" t="inlineStr">
        <is>
          <t>جعبه الکترونیکی کنترل ماشینی شده NBCM_DENA_SBR-TOP</t>
        </is>
      </c>
      <c r="C243" s="11" t="inlineStr">
        <is>
          <t>13416020183</t>
        </is>
      </c>
      <c r="D243" s="11" t="inlineStr">
        <is>
          <t>1405/03/05</t>
        </is>
      </c>
      <c r="E243" s="13" t="n"/>
      <c r="F243" s="10" t="n">
        <v>24485</v>
      </c>
      <c r="G243" s="10" t="n">
        <v>1110914</v>
      </c>
      <c r="H243" s="11" t="inlineStr">
        <is>
          <t>Diode BAV99WT1G</t>
        </is>
      </c>
      <c r="I243" s="11" t="inlineStr">
        <is>
          <t>عدد</t>
        </is>
      </c>
      <c r="J243" s="10" t="n">
        <v>4</v>
      </c>
      <c r="K243" s="10" t="n">
        <v>1</v>
      </c>
      <c r="L243" s="11" t="inlineStr">
        <is>
          <t>-</t>
        </is>
      </c>
      <c r="M243" s="13" t="n"/>
      <c r="N243" s="13" t="n"/>
      <c r="O243" s="10" t="n">
        <v>100</v>
      </c>
      <c r="P243" s="11" t="inlineStr">
        <is>
          <t>مصرف مستقیم</t>
        </is>
      </c>
      <c r="Q243" s="10">
        <f>SUMIFS('ورودی برنامه'!$D$4:$D$16,'ورودی برنامه'!$A$4:$A$16,A243,'ورودی برنامه'!$C$4:$C$16,C243)</f>
        <v>1460</v>
      </c>
      <c r="R243" s="10">
        <f>SUMIFS('ورودی برنامه'!$E$4:$E$16,'ورودی برنامه'!$A$4:$A$16,A243,'ورودی برنامه'!$C$4:$C$16,C243)</f>
        <v>1200</v>
      </c>
      <c r="S243" s="10">
        <f>ROUND(Q243*J243/K243*O243/100,10)</f>
        <v>5840</v>
      </c>
      <c r="T243" s="10">
        <f>ROUND(R243*J243/K243*O243/100,10)</f>
        <v>4800</v>
      </c>
      <c r="U243" s="10" t="n">
        <v>5840</v>
      </c>
      <c r="V243" s="10" t="n">
        <v>4800</v>
      </c>
    </row>
    <row r="244" ht="20" customHeight="1">
      <c r="A244" s="5" t="n">
        <v>1201643</v>
      </c>
      <c r="B244" s="6" t="inlineStr">
        <is>
          <t>جعبه الکترونیکی کنترل ماشینی شده NBCM_DENA_SBR-TOP</t>
        </is>
      </c>
      <c r="C244" s="6" t="inlineStr">
        <is>
          <t>13416020183</t>
        </is>
      </c>
      <c r="D244" s="6" t="inlineStr">
        <is>
          <t>1405/03/05</t>
        </is>
      </c>
      <c r="E244" s="9" t="n"/>
      <c r="F244" s="5" t="n">
        <v>24511</v>
      </c>
      <c r="G244" s="5" t="n">
        <v>1110915</v>
      </c>
      <c r="H244" s="6" t="inlineStr">
        <is>
          <t>Diode BAS21LT1G</t>
        </is>
      </c>
      <c r="I244" s="6" t="inlineStr">
        <is>
          <t>عدد</t>
        </is>
      </c>
      <c r="J244" s="5" t="n">
        <v>2</v>
      </c>
      <c r="K244" s="5" t="n">
        <v>1</v>
      </c>
      <c r="L244" s="6" t="inlineStr">
        <is>
          <t>-</t>
        </is>
      </c>
      <c r="M244" s="9" t="n"/>
      <c r="N244" s="9" t="n"/>
      <c r="O244" s="5" t="n">
        <v>100</v>
      </c>
      <c r="P244" s="6" t="inlineStr">
        <is>
          <t>مصرف مستقیم</t>
        </is>
      </c>
      <c r="Q244" s="5">
        <f>SUMIFS('ورودی برنامه'!$D$4:$D$16,'ورودی برنامه'!$A$4:$A$16,A244,'ورودی برنامه'!$C$4:$C$16,C244)</f>
        <v>1460</v>
      </c>
      <c r="R244" s="5">
        <f>SUMIFS('ورودی برنامه'!$E$4:$E$16,'ورودی برنامه'!$A$4:$A$16,A244,'ورودی برنامه'!$C$4:$C$16,C244)</f>
        <v>1200</v>
      </c>
      <c r="S244" s="5">
        <f>ROUND(Q244*J244/K244*O244/100,10)</f>
        <v>2920</v>
      </c>
      <c r="T244" s="5">
        <f>ROUND(R244*J244/K244*O244/100,10)</f>
        <v>2400</v>
      </c>
      <c r="U244" s="5" t="n">
        <v>2920</v>
      </c>
      <c r="V244" s="5" t="n">
        <v>2400</v>
      </c>
    </row>
    <row r="245" ht="20" customHeight="1">
      <c r="A245" s="10" t="n">
        <v>1201643</v>
      </c>
      <c r="B245" s="11" t="inlineStr">
        <is>
          <t>جعبه الکترونیکی کنترل ماشینی شده NBCM_DENA_SBR-TOP</t>
        </is>
      </c>
      <c r="C245" s="11" t="inlineStr">
        <is>
          <t>13416020183</t>
        </is>
      </c>
      <c r="D245" s="11" t="inlineStr">
        <is>
          <t>1405/03/05</t>
        </is>
      </c>
      <c r="E245" s="13" t="n"/>
      <c r="F245" s="10" t="n">
        <v>24829</v>
      </c>
      <c r="G245" s="10" t="n">
        <v>1110483</v>
      </c>
      <c r="H245" s="11" t="inlineStr">
        <is>
          <t>IC L9826</t>
        </is>
      </c>
      <c r="I245" s="11" t="inlineStr">
        <is>
          <t>عدد</t>
        </is>
      </c>
      <c r="J245" s="10" t="n">
        <v>2</v>
      </c>
      <c r="K245" s="10" t="n">
        <v>1</v>
      </c>
      <c r="L245" s="11" t="inlineStr">
        <is>
          <t>-</t>
        </is>
      </c>
      <c r="M245" s="13" t="n"/>
      <c r="N245" s="13" t="n"/>
      <c r="O245" s="10" t="n">
        <v>100</v>
      </c>
      <c r="P245" s="11" t="inlineStr">
        <is>
          <t>مصرف مستقیم</t>
        </is>
      </c>
      <c r="Q245" s="10">
        <f>SUMIFS('ورودی برنامه'!$D$4:$D$16,'ورودی برنامه'!$A$4:$A$16,A245,'ورودی برنامه'!$C$4:$C$16,C245)</f>
        <v>1460</v>
      </c>
      <c r="R245" s="10">
        <f>SUMIFS('ورودی برنامه'!$E$4:$E$16,'ورودی برنامه'!$A$4:$A$16,A245,'ورودی برنامه'!$C$4:$C$16,C245)</f>
        <v>1200</v>
      </c>
      <c r="S245" s="10">
        <f>ROUND(Q245*J245/K245*O245/100,10)</f>
        <v>2920</v>
      </c>
      <c r="T245" s="10">
        <f>ROUND(R245*J245/K245*O245/100,10)</f>
        <v>2400</v>
      </c>
      <c r="U245" s="10" t="n">
        <v>2920</v>
      </c>
      <c r="V245" s="10" t="n">
        <v>2400</v>
      </c>
    </row>
    <row r="246" ht="20" customHeight="1">
      <c r="A246" s="5" t="n">
        <v>1201643</v>
      </c>
      <c r="B246" s="6" t="inlineStr">
        <is>
          <t>جعبه الکترونیکی کنترل ماشینی شده NBCM_DENA_SBR-TOP</t>
        </is>
      </c>
      <c r="C246" s="6" t="inlineStr">
        <is>
          <t>13416020183</t>
        </is>
      </c>
      <c r="D246" s="6" t="inlineStr">
        <is>
          <t>1405/03/05</t>
        </is>
      </c>
      <c r="E246" s="9" t="n"/>
      <c r="F246" s="5" t="n">
        <v>24834</v>
      </c>
      <c r="G246" s="5" t="n">
        <v>1111004</v>
      </c>
      <c r="H246" s="6" t="inlineStr">
        <is>
          <t>Regulator TLE4291E</t>
        </is>
      </c>
      <c r="I246" s="6" t="inlineStr">
        <is>
          <t>عدد</t>
        </is>
      </c>
      <c r="J246" s="5" t="n">
        <v>1</v>
      </c>
      <c r="K246" s="5" t="n">
        <v>1</v>
      </c>
      <c r="L246" s="6" t="inlineStr">
        <is>
          <t>-</t>
        </is>
      </c>
      <c r="M246" s="9" t="n"/>
      <c r="N246" s="9" t="n"/>
      <c r="O246" s="5" t="n">
        <v>100</v>
      </c>
      <c r="P246" s="6" t="inlineStr">
        <is>
          <t>مصرف مستقیم</t>
        </is>
      </c>
      <c r="Q246" s="5">
        <f>SUMIFS('ورودی برنامه'!$D$4:$D$16,'ورودی برنامه'!$A$4:$A$16,A246,'ورودی برنامه'!$C$4:$C$16,C246)</f>
        <v>1460</v>
      </c>
      <c r="R246" s="5">
        <f>SUMIFS('ورودی برنامه'!$E$4:$E$16,'ورودی برنامه'!$A$4:$A$16,A246,'ورودی برنامه'!$C$4:$C$16,C246)</f>
        <v>1200</v>
      </c>
      <c r="S246" s="5">
        <f>ROUND(Q246*J246/K246*O246/100,10)</f>
        <v>1460</v>
      </c>
      <c r="T246" s="5">
        <f>ROUND(R246*J246/K246*O246/100,10)</f>
        <v>1200</v>
      </c>
      <c r="U246" s="5" t="n">
        <v>1460</v>
      </c>
      <c r="V246" s="5" t="n">
        <v>1200</v>
      </c>
    </row>
    <row r="247" ht="20" customHeight="1">
      <c r="A247" s="10" t="n">
        <v>1201643</v>
      </c>
      <c r="B247" s="11" t="inlineStr">
        <is>
          <t>جعبه الکترونیکی کنترل ماشینی شده NBCM_DENA_SBR-TOP</t>
        </is>
      </c>
      <c r="C247" s="11" t="inlineStr">
        <is>
          <t>13416020183</t>
        </is>
      </c>
      <c r="D247" s="11" t="inlineStr">
        <is>
          <t>1405/03/05</t>
        </is>
      </c>
      <c r="E247" s="13" t="n"/>
      <c r="F247" s="10" t="n">
        <v>25018</v>
      </c>
      <c r="G247" s="10" t="n">
        <v>1110460</v>
      </c>
      <c r="H247" s="11" t="inlineStr">
        <is>
          <t>IC CAN Transceiver TJA1042T</t>
        </is>
      </c>
      <c r="I247" s="11" t="inlineStr">
        <is>
          <t>عدد</t>
        </is>
      </c>
      <c r="J247" s="10" t="n">
        <v>1</v>
      </c>
      <c r="K247" s="10" t="n">
        <v>1</v>
      </c>
      <c r="L247" s="11" t="inlineStr">
        <is>
          <t>-</t>
        </is>
      </c>
      <c r="M247" s="13" t="n"/>
      <c r="N247" s="13" t="n"/>
      <c r="O247" s="10" t="n">
        <v>100</v>
      </c>
      <c r="P247" s="11" t="inlineStr">
        <is>
          <t>مصرف مستقیم</t>
        </is>
      </c>
      <c r="Q247" s="10">
        <f>SUMIFS('ورودی برنامه'!$D$4:$D$16,'ورودی برنامه'!$A$4:$A$16,A247,'ورودی برنامه'!$C$4:$C$16,C247)</f>
        <v>1460</v>
      </c>
      <c r="R247" s="10">
        <f>SUMIFS('ورودی برنامه'!$E$4:$E$16,'ورودی برنامه'!$A$4:$A$16,A247,'ورودی برنامه'!$C$4:$C$16,C247)</f>
        <v>1200</v>
      </c>
      <c r="S247" s="10">
        <f>ROUND(Q247*J247/K247*O247/100,10)</f>
        <v>1460</v>
      </c>
      <c r="T247" s="10">
        <f>ROUND(R247*J247/K247*O247/100,10)</f>
        <v>1200</v>
      </c>
      <c r="U247" s="10" t="n">
        <v>1460</v>
      </c>
      <c r="V247" s="10" t="n">
        <v>1200</v>
      </c>
    </row>
    <row r="248" ht="20" customHeight="1">
      <c r="A248" s="5" t="n">
        <v>1201643</v>
      </c>
      <c r="B248" s="6" t="inlineStr">
        <is>
          <t>جعبه الکترونیکی کنترل ماشینی شده NBCM_DENA_SBR-TOP</t>
        </is>
      </c>
      <c r="C248" s="6" t="inlineStr">
        <is>
          <t>13416020183</t>
        </is>
      </c>
      <c r="D248" s="6" t="inlineStr">
        <is>
          <t>1405/03/05</t>
        </is>
      </c>
      <c r="E248" s="9" t="n"/>
      <c r="F248" s="5" t="n">
        <v>25334</v>
      </c>
      <c r="G248" s="5" t="n">
        <v>1110105</v>
      </c>
      <c r="H248" s="6" t="inlineStr">
        <is>
          <t>Electrolit Capacitor 100uF,16V,20% 105</t>
        </is>
      </c>
      <c r="I248" s="6" t="inlineStr">
        <is>
          <t>عدد</t>
        </is>
      </c>
      <c r="J248" s="5" t="n">
        <v>2</v>
      </c>
      <c r="K248" s="5" t="n">
        <v>1</v>
      </c>
      <c r="L248" s="6" t="inlineStr">
        <is>
          <t>-</t>
        </is>
      </c>
      <c r="M248" s="9" t="n"/>
      <c r="N248" s="9" t="n"/>
      <c r="O248" s="5" t="n">
        <v>100</v>
      </c>
      <c r="P248" s="6" t="inlineStr">
        <is>
          <t>مصرف مستقیم</t>
        </is>
      </c>
      <c r="Q248" s="5">
        <f>SUMIFS('ورودی برنامه'!$D$4:$D$16,'ورودی برنامه'!$A$4:$A$16,A248,'ورودی برنامه'!$C$4:$C$16,C248)</f>
        <v>1460</v>
      </c>
      <c r="R248" s="5">
        <f>SUMIFS('ورودی برنامه'!$E$4:$E$16,'ورودی برنامه'!$A$4:$A$16,A248,'ورودی برنامه'!$C$4:$C$16,C248)</f>
        <v>1200</v>
      </c>
      <c r="S248" s="5">
        <f>ROUND(Q248*J248/K248*O248/100,10)</f>
        <v>2920</v>
      </c>
      <c r="T248" s="5">
        <f>ROUND(R248*J248/K248*O248/100,10)</f>
        <v>2400</v>
      </c>
      <c r="U248" s="5" t="n">
        <v>2920</v>
      </c>
      <c r="V248" s="5" t="n">
        <v>2400</v>
      </c>
    </row>
    <row r="249" ht="20" customHeight="1">
      <c r="A249" s="10" t="n">
        <v>1201643</v>
      </c>
      <c r="B249" s="11" t="inlineStr">
        <is>
          <t>جعبه الکترونیکی کنترل ماشینی شده NBCM_DENA_SBR-TOP</t>
        </is>
      </c>
      <c r="C249" s="11" t="inlineStr">
        <is>
          <t>13416020183</t>
        </is>
      </c>
      <c r="D249" s="11" t="inlineStr">
        <is>
          <t>1405/03/05</t>
        </is>
      </c>
      <c r="E249" s="13" t="n"/>
      <c r="F249" s="10" t="n">
        <v>25361</v>
      </c>
      <c r="G249" s="10" t="n">
        <v>1110916</v>
      </c>
      <c r="H249" s="11" t="inlineStr">
        <is>
          <t>Diod PESD1LIN</t>
        </is>
      </c>
      <c r="I249" s="11" t="inlineStr">
        <is>
          <t>عدد</t>
        </is>
      </c>
      <c r="J249" s="10" t="n">
        <v>2</v>
      </c>
      <c r="K249" s="10" t="n">
        <v>1</v>
      </c>
      <c r="L249" s="11" t="inlineStr">
        <is>
          <t>-</t>
        </is>
      </c>
      <c r="M249" s="13" t="n"/>
      <c r="N249" s="13" t="n"/>
      <c r="O249" s="10" t="n">
        <v>100</v>
      </c>
      <c r="P249" s="11" t="inlineStr">
        <is>
          <t>مصرف مستقیم</t>
        </is>
      </c>
      <c r="Q249" s="10">
        <f>SUMIFS('ورودی برنامه'!$D$4:$D$16,'ورودی برنامه'!$A$4:$A$16,A249,'ورودی برنامه'!$C$4:$C$16,C249)</f>
        <v>1460</v>
      </c>
      <c r="R249" s="10">
        <f>SUMIFS('ورودی برنامه'!$E$4:$E$16,'ورودی برنامه'!$A$4:$A$16,A249,'ورودی برنامه'!$C$4:$C$16,C249)</f>
        <v>1200</v>
      </c>
      <c r="S249" s="10">
        <f>ROUND(Q249*J249/K249*O249/100,10)</f>
        <v>2920</v>
      </c>
      <c r="T249" s="10">
        <f>ROUND(R249*J249/K249*O249/100,10)</f>
        <v>2400</v>
      </c>
      <c r="U249" s="10" t="n">
        <v>2920</v>
      </c>
      <c r="V249" s="10" t="n">
        <v>2400</v>
      </c>
    </row>
    <row r="250" ht="20" customHeight="1">
      <c r="A250" s="5" t="n">
        <v>1201643</v>
      </c>
      <c r="B250" s="6" t="inlineStr">
        <is>
          <t>جعبه الکترونیکی کنترل ماشینی شده NBCM_DENA_SBR-TOP</t>
        </is>
      </c>
      <c r="C250" s="6" t="inlineStr">
        <is>
          <t>13416020183</t>
        </is>
      </c>
      <c r="D250" s="6" t="inlineStr">
        <is>
          <t>1405/03/05</t>
        </is>
      </c>
      <c r="E250" s="9" t="n"/>
      <c r="F250" s="5" t="n">
        <v>27811</v>
      </c>
      <c r="G250" s="5" t="n">
        <v>1110183</v>
      </c>
      <c r="H250" s="6" t="inlineStr">
        <is>
          <t>Resistor 10K,5%,1/10W 0603</t>
        </is>
      </c>
      <c r="I250" s="6" t="inlineStr">
        <is>
          <t>عدد</t>
        </is>
      </c>
      <c r="J250" s="5" t="n">
        <v>15</v>
      </c>
      <c r="K250" s="5" t="n">
        <v>1</v>
      </c>
      <c r="L250" s="6" t="inlineStr">
        <is>
          <t>-</t>
        </is>
      </c>
      <c r="M250" s="9" t="n"/>
      <c r="N250" s="9" t="n"/>
      <c r="O250" s="5" t="n">
        <v>100</v>
      </c>
      <c r="P250" s="6" t="inlineStr">
        <is>
          <t>مصرف مستقیم</t>
        </is>
      </c>
      <c r="Q250" s="5">
        <f>SUMIFS('ورودی برنامه'!$D$4:$D$16,'ورودی برنامه'!$A$4:$A$16,A250,'ورودی برنامه'!$C$4:$C$16,C250)</f>
        <v>1460</v>
      </c>
      <c r="R250" s="5">
        <f>SUMIFS('ورودی برنامه'!$E$4:$E$16,'ورودی برنامه'!$A$4:$A$16,A250,'ورودی برنامه'!$C$4:$C$16,C250)</f>
        <v>1200</v>
      </c>
      <c r="S250" s="5">
        <f>ROUND(Q250*J250/K250*O250/100,10)</f>
        <v>21900</v>
      </c>
      <c r="T250" s="5">
        <f>ROUND(R250*J250/K250*O250/100,10)</f>
        <v>18000</v>
      </c>
      <c r="U250" s="5" t="n">
        <v>21900</v>
      </c>
      <c r="V250" s="5" t="n">
        <v>18000</v>
      </c>
    </row>
    <row r="251" ht="20" customHeight="1">
      <c r="A251" s="10" t="n">
        <v>1201643</v>
      </c>
      <c r="B251" s="11" t="inlineStr">
        <is>
          <t>جعبه الکترونیکی کنترل ماشینی شده NBCM_DENA_SBR-TOP</t>
        </is>
      </c>
      <c r="C251" s="11" t="inlineStr">
        <is>
          <t>13416020183</t>
        </is>
      </c>
      <c r="D251" s="11" t="inlineStr">
        <is>
          <t>1405/03/05</t>
        </is>
      </c>
      <c r="E251" s="13" t="n"/>
      <c r="F251" s="10" t="n">
        <v>29216</v>
      </c>
      <c r="G251" s="10" t="n">
        <v>1110274</v>
      </c>
      <c r="H251" s="11" t="inlineStr">
        <is>
          <t>Resistor 0 ,5%,1/10W</t>
        </is>
      </c>
      <c r="I251" s="11" t="inlineStr">
        <is>
          <t>عدد</t>
        </is>
      </c>
      <c r="J251" s="10" t="n">
        <v>11</v>
      </c>
      <c r="K251" s="10" t="n">
        <v>1</v>
      </c>
      <c r="L251" s="11" t="inlineStr">
        <is>
          <t>4</t>
        </is>
      </c>
      <c r="M251" s="10" t="n">
        <v>1</v>
      </c>
      <c r="N251" s="10" t="n">
        <v>50</v>
      </c>
      <c r="O251" s="10">
        <f>N251</f>
        <v>50</v>
      </c>
      <c r="P251" s="11" t="inlineStr">
        <is>
          <t>سهم درصد استفاده BOM</t>
        </is>
      </c>
      <c r="Q251" s="10">
        <f>SUMIFS('ورودی برنامه'!$D$4:$D$16,'ورودی برنامه'!$A$4:$A$16,A251,'ورودی برنامه'!$C$4:$C$16,C251)</f>
        <v>1460</v>
      </c>
      <c r="R251" s="10">
        <f>SUMIFS('ورودی برنامه'!$E$4:$E$16,'ورودی برنامه'!$A$4:$A$16,A251,'ورودی برنامه'!$C$4:$C$16,C251)</f>
        <v>1200</v>
      </c>
      <c r="S251" s="10">
        <f>ROUND(Q251*J251/K251*O251/100,10)</f>
        <v>8030</v>
      </c>
      <c r="T251" s="10">
        <f>ROUND(R251*J251/K251*O251/100,10)</f>
        <v>6600</v>
      </c>
      <c r="U251" s="10" t="n">
        <v>16060</v>
      </c>
      <c r="V251" s="10" t="n">
        <v>13200</v>
      </c>
    </row>
    <row r="252" ht="20" customHeight="1">
      <c r="A252" s="5" t="n">
        <v>1201643</v>
      </c>
      <c r="B252" s="6" t="inlineStr">
        <is>
          <t>جعبه الکترونیکی کنترل ماشینی شده NBCM_DENA_SBR-TOP</t>
        </is>
      </c>
      <c r="C252" s="6" t="inlineStr">
        <is>
          <t>13416020183</t>
        </is>
      </c>
      <c r="D252" s="6" t="inlineStr">
        <is>
          <t>1405/03/05</t>
        </is>
      </c>
      <c r="E252" s="9" t="n"/>
      <c r="F252" s="5" t="n">
        <v>29333</v>
      </c>
      <c r="G252" s="5" t="n">
        <v>1110277</v>
      </c>
      <c r="H252" s="6" t="inlineStr">
        <is>
          <t>Resistor 0,5%,1/4w (3216(1206</t>
        </is>
      </c>
      <c r="I252" s="6" t="inlineStr">
        <is>
          <t>عدد</t>
        </is>
      </c>
      <c r="J252" s="5" t="n">
        <v>1</v>
      </c>
      <c r="K252" s="5" t="n">
        <v>1</v>
      </c>
      <c r="L252" s="6" t="inlineStr">
        <is>
          <t>-</t>
        </is>
      </c>
      <c r="M252" s="9" t="n"/>
      <c r="N252" s="9" t="n"/>
      <c r="O252" s="5" t="n">
        <v>100</v>
      </c>
      <c r="P252" s="6" t="inlineStr">
        <is>
          <t>مصرف مستقیم</t>
        </is>
      </c>
      <c r="Q252" s="5">
        <f>SUMIFS('ورودی برنامه'!$D$4:$D$16,'ورودی برنامه'!$A$4:$A$16,A252,'ورودی برنامه'!$C$4:$C$16,C252)</f>
        <v>1460</v>
      </c>
      <c r="R252" s="5">
        <f>SUMIFS('ورودی برنامه'!$E$4:$E$16,'ورودی برنامه'!$A$4:$A$16,A252,'ورودی برنامه'!$C$4:$C$16,C252)</f>
        <v>1200</v>
      </c>
      <c r="S252" s="5">
        <f>ROUND(Q252*J252/K252*O252/100,10)</f>
        <v>1460</v>
      </c>
      <c r="T252" s="5">
        <f>ROUND(R252*J252/K252*O252/100,10)</f>
        <v>1200</v>
      </c>
      <c r="U252" s="5" t="n">
        <v>1460</v>
      </c>
      <c r="V252" s="5" t="n">
        <v>1200</v>
      </c>
    </row>
    <row r="253" ht="20" customHeight="1">
      <c r="A253" s="10" t="n">
        <v>1201643</v>
      </c>
      <c r="B253" s="11" t="inlineStr">
        <is>
          <t>جعبه الکترونیکی کنترل ماشینی شده NBCM_DENA_SBR-TOP</t>
        </is>
      </c>
      <c r="C253" s="11" t="inlineStr">
        <is>
          <t>13416020183</t>
        </is>
      </c>
      <c r="D253" s="11" t="inlineStr">
        <is>
          <t>1405/03/05</t>
        </is>
      </c>
      <c r="E253" s="13" t="n"/>
      <c r="F253" s="10" t="n">
        <v>29659</v>
      </c>
      <c r="G253" s="10" t="n">
        <v>1110746</v>
      </c>
      <c r="H253" s="11" t="inlineStr">
        <is>
          <t>Resistor 0 ,5%,1W</t>
        </is>
      </c>
      <c r="I253" s="11" t="inlineStr">
        <is>
          <t>عدد</t>
        </is>
      </c>
      <c r="J253" s="10" t="n">
        <v>10</v>
      </c>
      <c r="K253" s="10" t="n">
        <v>1</v>
      </c>
      <c r="L253" s="11" t="inlineStr">
        <is>
          <t>4</t>
        </is>
      </c>
      <c r="M253" s="10" t="n">
        <v>2</v>
      </c>
      <c r="N253" s="10" t="n">
        <v>50</v>
      </c>
      <c r="O253" s="10">
        <f>N253</f>
        <v>50</v>
      </c>
      <c r="P253" s="11" t="inlineStr">
        <is>
          <t>سهم درصد استفاده BOM</t>
        </is>
      </c>
      <c r="Q253" s="10">
        <f>SUMIFS('ورودی برنامه'!$D$4:$D$16,'ورودی برنامه'!$A$4:$A$16,A253,'ورودی برنامه'!$C$4:$C$16,C253)</f>
        <v>1460</v>
      </c>
      <c r="R253" s="10">
        <f>SUMIFS('ورودی برنامه'!$E$4:$E$16,'ورودی برنامه'!$A$4:$A$16,A253,'ورودی برنامه'!$C$4:$C$16,C253)</f>
        <v>1200</v>
      </c>
      <c r="S253" s="10">
        <f>ROUND(Q253*J253/K253*O253/100,10)</f>
        <v>7300</v>
      </c>
      <c r="T253" s="10">
        <f>ROUND(R253*J253/K253*O253/100,10)</f>
        <v>6000</v>
      </c>
      <c r="U253" s="10" t="n">
        <v>0</v>
      </c>
      <c r="V253" s="10" t="n">
        <v>0</v>
      </c>
    </row>
    <row r="254" ht="20" customHeight="1">
      <c r="A254" s="5" t="n">
        <v>1201643</v>
      </c>
      <c r="B254" s="6" t="inlineStr">
        <is>
          <t>جعبه الکترونیکی کنترل ماشینی شده NBCM_DENA_SBR-TOP</t>
        </is>
      </c>
      <c r="C254" s="6" t="inlineStr">
        <is>
          <t>13416020183</t>
        </is>
      </c>
      <c r="D254" s="6" t="inlineStr">
        <is>
          <t>1405/03/05</t>
        </is>
      </c>
      <c r="E254" s="9" t="n"/>
      <c r="F254" s="5" t="n">
        <v>29902</v>
      </c>
      <c r="G254" s="5" t="n">
        <v>1110132</v>
      </c>
      <c r="H254" s="6" t="inlineStr">
        <is>
          <t>Capacitor 1nF,X7R,50V,10% (3003864</t>
        </is>
      </c>
      <c r="I254" s="6" t="inlineStr">
        <is>
          <t>عدد</t>
        </is>
      </c>
      <c r="J254" s="5" t="n">
        <v>14</v>
      </c>
      <c r="K254" s="5" t="n">
        <v>1</v>
      </c>
      <c r="L254" s="6" t="inlineStr">
        <is>
          <t>-</t>
        </is>
      </c>
      <c r="M254" s="9" t="n"/>
      <c r="N254" s="9" t="n"/>
      <c r="O254" s="5" t="n">
        <v>100</v>
      </c>
      <c r="P254" s="6" t="inlineStr">
        <is>
          <t>مصرف مستقیم</t>
        </is>
      </c>
      <c r="Q254" s="5">
        <f>SUMIFS('ورودی برنامه'!$D$4:$D$16,'ورودی برنامه'!$A$4:$A$16,A254,'ورودی برنامه'!$C$4:$C$16,C254)</f>
        <v>1460</v>
      </c>
      <c r="R254" s="5">
        <f>SUMIFS('ورودی برنامه'!$E$4:$E$16,'ورودی برنامه'!$A$4:$A$16,A254,'ورودی برنامه'!$C$4:$C$16,C254)</f>
        <v>1200</v>
      </c>
      <c r="S254" s="5">
        <f>ROUND(Q254*J254/K254*O254/100,10)</f>
        <v>20440</v>
      </c>
      <c r="T254" s="5">
        <f>ROUND(R254*J254/K254*O254/100,10)</f>
        <v>16800</v>
      </c>
      <c r="U254" s="5" t="n">
        <v>20440</v>
      </c>
      <c r="V254" s="5" t="n">
        <v>16800</v>
      </c>
    </row>
    <row r="255" ht="20" customHeight="1">
      <c r="A255" s="10" t="n">
        <v>1201643</v>
      </c>
      <c r="B255" s="11" t="inlineStr">
        <is>
          <t>جعبه الکترونیکی کنترل ماشینی شده NBCM_DENA_SBR-TOP</t>
        </is>
      </c>
      <c r="C255" s="11" t="inlineStr">
        <is>
          <t>13416020183</t>
        </is>
      </c>
      <c r="D255" s="11" t="inlineStr">
        <is>
          <t>1405/03/05</t>
        </is>
      </c>
      <c r="E255" s="13" t="n"/>
      <c r="F255" s="10" t="n">
        <v>30324</v>
      </c>
      <c r="G255" s="10" t="n">
        <v>1110706</v>
      </c>
      <c r="H255" s="11" t="inlineStr">
        <is>
          <t>resistor 1K,1%,1/10W</t>
        </is>
      </c>
      <c r="I255" s="11" t="inlineStr">
        <is>
          <t>عدد</t>
        </is>
      </c>
      <c r="J255" s="10" t="n">
        <v>4</v>
      </c>
      <c r="K255" s="10" t="n">
        <v>1</v>
      </c>
      <c r="L255" s="11" t="inlineStr">
        <is>
          <t>6</t>
        </is>
      </c>
      <c r="M255" s="10" t="n">
        <v>2</v>
      </c>
      <c r="N255" s="10" t="n">
        <v>50</v>
      </c>
      <c r="O255" s="10">
        <f>N255</f>
        <v>50</v>
      </c>
      <c r="P255" s="11" t="inlineStr">
        <is>
          <t>سهم درصد استفاده BOM</t>
        </is>
      </c>
      <c r="Q255" s="10">
        <f>SUMIFS('ورودی برنامه'!$D$4:$D$16,'ورودی برنامه'!$A$4:$A$16,A255,'ورودی برنامه'!$C$4:$C$16,C255)</f>
        <v>1460</v>
      </c>
      <c r="R255" s="10">
        <f>SUMIFS('ورودی برنامه'!$E$4:$E$16,'ورودی برنامه'!$A$4:$A$16,A255,'ورودی برنامه'!$C$4:$C$16,C255)</f>
        <v>1200</v>
      </c>
      <c r="S255" s="10">
        <f>ROUND(Q255*J255/K255*O255/100,10)</f>
        <v>2920</v>
      </c>
      <c r="T255" s="10">
        <f>ROUND(R255*J255/K255*O255/100,10)</f>
        <v>2400</v>
      </c>
      <c r="U255" s="10" t="n">
        <v>5840</v>
      </c>
      <c r="V255" s="10" t="n">
        <v>0</v>
      </c>
    </row>
    <row r="256" ht="20" customHeight="1">
      <c r="A256" s="5" t="n">
        <v>1201643</v>
      </c>
      <c r="B256" s="6" t="inlineStr">
        <is>
          <t>جعبه الکترونیکی کنترل ماشینی شده NBCM_DENA_SBR-TOP</t>
        </is>
      </c>
      <c r="C256" s="6" t="inlineStr">
        <is>
          <t>13416020183</t>
        </is>
      </c>
      <c r="D256" s="6" t="inlineStr">
        <is>
          <t>1405/03/05</t>
        </is>
      </c>
      <c r="E256" s="9" t="n"/>
      <c r="F256" s="5" t="n">
        <v>30339</v>
      </c>
      <c r="G256" s="5" t="n">
        <v>1110702</v>
      </c>
      <c r="H256" s="6" t="inlineStr">
        <is>
          <t>resistor 10K,1%,1/10W</t>
        </is>
      </c>
      <c r="I256" s="6" t="inlineStr">
        <is>
          <t>عدد</t>
        </is>
      </c>
      <c r="J256" s="5" t="n">
        <v>8</v>
      </c>
      <c r="K256" s="5" t="n">
        <v>1</v>
      </c>
      <c r="L256" s="6" t="inlineStr">
        <is>
          <t>-</t>
        </is>
      </c>
      <c r="M256" s="9" t="n"/>
      <c r="N256" s="9" t="n"/>
      <c r="O256" s="5" t="n">
        <v>100</v>
      </c>
      <c r="P256" s="6" t="inlineStr">
        <is>
          <t>مصرف مستقیم</t>
        </is>
      </c>
      <c r="Q256" s="5">
        <f>SUMIFS('ورودی برنامه'!$D$4:$D$16,'ورودی برنامه'!$A$4:$A$16,A256,'ورودی برنامه'!$C$4:$C$16,C256)</f>
        <v>1460</v>
      </c>
      <c r="R256" s="5">
        <f>SUMIFS('ورودی برنامه'!$E$4:$E$16,'ورودی برنامه'!$A$4:$A$16,A256,'ورودی برنامه'!$C$4:$C$16,C256)</f>
        <v>1200</v>
      </c>
      <c r="S256" s="5">
        <f>ROUND(Q256*J256/K256*O256/100,10)</f>
        <v>11680</v>
      </c>
      <c r="T256" s="5">
        <f>ROUND(R256*J256/K256*O256/100,10)</f>
        <v>9600</v>
      </c>
      <c r="U256" s="5" t="n">
        <v>11680</v>
      </c>
      <c r="V256" s="5" t="n">
        <v>9600</v>
      </c>
    </row>
    <row r="257" ht="20" customHeight="1">
      <c r="A257" s="10" t="n">
        <v>1201643</v>
      </c>
      <c r="B257" s="11" t="inlineStr">
        <is>
          <t>جعبه الکترونیکی کنترل ماشینی شده NBCM_DENA_SBR-TOP</t>
        </is>
      </c>
      <c r="C257" s="11" t="inlineStr">
        <is>
          <t>13416020183</t>
        </is>
      </c>
      <c r="D257" s="11" t="inlineStr">
        <is>
          <t>1405/03/05</t>
        </is>
      </c>
      <c r="E257" s="13" t="n"/>
      <c r="F257" s="10" t="n">
        <v>31689</v>
      </c>
      <c r="G257" s="10" t="n">
        <v>1110708</v>
      </c>
      <c r="H257" s="11" t="inlineStr">
        <is>
          <t>Resistor 1K,5%,1/10W (3004604</t>
        </is>
      </c>
      <c r="I257" s="11" t="inlineStr">
        <is>
          <t>عدد</t>
        </is>
      </c>
      <c r="J257" s="10" t="n">
        <v>4</v>
      </c>
      <c r="K257" s="10" t="n">
        <v>1</v>
      </c>
      <c r="L257" s="11" t="inlineStr">
        <is>
          <t>6</t>
        </is>
      </c>
      <c r="M257" s="10" t="n">
        <v>1</v>
      </c>
      <c r="N257" s="10" t="n">
        <v>50</v>
      </c>
      <c r="O257" s="10">
        <f>N257</f>
        <v>50</v>
      </c>
      <c r="P257" s="11" t="inlineStr">
        <is>
          <t>سهم درصد استفاده BOM</t>
        </is>
      </c>
      <c r="Q257" s="10">
        <f>SUMIFS('ورودی برنامه'!$D$4:$D$16,'ورودی برنامه'!$A$4:$A$16,A257,'ورودی برنامه'!$C$4:$C$16,C257)</f>
        <v>1460</v>
      </c>
      <c r="R257" s="10">
        <f>SUMIFS('ورودی برنامه'!$E$4:$E$16,'ورودی برنامه'!$A$4:$A$16,A257,'ورودی برنامه'!$C$4:$C$16,C257)</f>
        <v>1200</v>
      </c>
      <c r="S257" s="10">
        <f>ROUND(Q257*J257/K257*O257/100,10)</f>
        <v>2920</v>
      </c>
      <c r="T257" s="10">
        <f>ROUND(R257*J257/K257*O257/100,10)</f>
        <v>2400</v>
      </c>
      <c r="U257" s="10" t="n">
        <v>0</v>
      </c>
      <c r="V257" s="10" t="n">
        <v>4800</v>
      </c>
    </row>
    <row r="258" ht="20" customHeight="1">
      <c r="A258" s="5" t="n">
        <v>1201643</v>
      </c>
      <c r="B258" s="6" t="inlineStr">
        <is>
          <t>جعبه الکترونیکی کنترل ماشینی شده NBCM_DENA_SBR-TOP</t>
        </is>
      </c>
      <c r="C258" s="6" t="inlineStr">
        <is>
          <t>13416020183</t>
        </is>
      </c>
      <c r="D258" s="6" t="inlineStr">
        <is>
          <t>1405/03/05</t>
        </is>
      </c>
      <c r="E258" s="9" t="n"/>
      <c r="F258" s="5" t="n">
        <v>31798</v>
      </c>
      <c r="G258" s="5" t="n">
        <v>1120119</v>
      </c>
      <c r="H258" s="6" t="inlineStr">
        <is>
          <t>Electrolit Capacitor 220uF,50V,20%,MVK,-55°C~+105°C</t>
        </is>
      </c>
      <c r="I258" s="6" t="inlineStr">
        <is>
          <t>عدد</t>
        </is>
      </c>
      <c r="J258" s="5" t="n">
        <v>2</v>
      </c>
      <c r="K258" s="5" t="n">
        <v>1</v>
      </c>
      <c r="L258" s="6" t="inlineStr">
        <is>
          <t>1</t>
        </is>
      </c>
      <c r="M258" s="5" t="n">
        <v>2</v>
      </c>
      <c r="N258" s="5" t="n">
        <v>50</v>
      </c>
      <c r="O258" s="5">
        <f>N258</f>
        <v>50</v>
      </c>
      <c r="P258" s="6" t="inlineStr">
        <is>
          <t>سهم درصد استفاده BOM</t>
        </is>
      </c>
      <c r="Q258" s="5">
        <f>SUMIFS('ورودی برنامه'!$D$4:$D$16,'ورودی برنامه'!$A$4:$A$16,A258,'ورودی برنامه'!$C$4:$C$16,C258)</f>
        <v>1460</v>
      </c>
      <c r="R258" s="5">
        <f>SUMIFS('ورودی برنامه'!$E$4:$E$16,'ورودی برنامه'!$A$4:$A$16,A258,'ورودی برنامه'!$C$4:$C$16,C258)</f>
        <v>1200</v>
      </c>
      <c r="S258" s="5">
        <f>ROUND(Q258*J258/K258*O258/100,10)</f>
        <v>1460</v>
      </c>
      <c r="T258" s="5">
        <f>ROUND(R258*J258/K258*O258/100,10)</f>
        <v>1200</v>
      </c>
      <c r="U258" s="5" t="n">
        <v>0</v>
      </c>
      <c r="V258" s="5" t="n">
        <v>0</v>
      </c>
    </row>
    <row r="259" ht="20" customHeight="1">
      <c r="A259" s="10" t="n">
        <v>1201643</v>
      </c>
      <c r="B259" s="11" t="inlineStr">
        <is>
          <t>جعبه الکترونیکی کنترل ماشینی شده NBCM_DENA_SBR-TOP</t>
        </is>
      </c>
      <c r="C259" s="11" t="inlineStr">
        <is>
          <t>13416020183</t>
        </is>
      </c>
      <c r="D259" s="11" t="inlineStr">
        <is>
          <t>1405/03/05</t>
        </is>
      </c>
      <c r="E259" s="13" t="n"/>
      <c r="F259" s="10" t="n">
        <v>32018</v>
      </c>
      <c r="G259" s="10" t="n">
        <v>1110714</v>
      </c>
      <c r="H259" s="11" t="inlineStr">
        <is>
          <t>Resistor 22K,1%,1/10W</t>
        </is>
      </c>
      <c r="I259" s="11" t="inlineStr">
        <is>
          <t>عدد</t>
        </is>
      </c>
      <c r="J259" s="10" t="n">
        <v>21</v>
      </c>
      <c r="K259" s="10" t="n">
        <v>1</v>
      </c>
      <c r="L259" s="11" t="inlineStr">
        <is>
          <t>5</t>
        </is>
      </c>
      <c r="M259" s="10" t="n">
        <v>2</v>
      </c>
      <c r="N259" s="10" t="n">
        <v>50</v>
      </c>
      <c r="O259" s="10">
        <f>N259</f>
        <v>50</v>
      </c>
      <c r="P259" s="11" t="inlineStr">
        <is>
          <t>سهم درصد استفاده BOM</t>
        </is>
      </c>
      <c r="Q259" s="10">
        <f>SUMIFS('ورودی برنامه'!$D$4:$D$16,'ورودی برنامه'!$A$4:$A$16,A259,'ورودی برنامه'!$C$4:$C$16,C259)</f>
        <v>1460</v>
      </c>
      <c r="R259" s="10">
        <f>SUMIFS('ورودی برنامه'!$E$4:$E$16,'ورودی برنامه'!$A$4:$A$16,A259,'ورودی برنامه'!$C$4:$C$16,C259)</f>
        <v>1200</v>
      </c>
      <c r="S259" s="10">
        <f>ROUND(Q259*J259/K259*O259/100,10)</f>
        <v>15330</v>
      </c>
      <c r="T259" s="10">
        <f>ROUND(R259*J259/K259*O259/100,10)</f>
        <v>12600</v>
      </c>
      <c r="U259" s="10" t="n">
        <v>0</v>
      </c>
      <c r="V259" s="10" t="n">
        <v>0</v>
      </c>
    </row>
    <row r="260" ht="20" customHeight="1">
      <c r="A260" s="5" t="n">
        <v>1201643</v>
      </c>
      <c r="B260" s="6" t="inlineStr">
        <is>
          <t>جعبه الکترونیکی کنترل ماشینی شده NBCM_DENA_SBR-TOP</t>
        </is>
      </c>
      <c r="C260" s="6" t="inlineStr">
        <is>
          <t>13416020183</t>
        </is>
      </c>
      <c r="D260" s="6" t="inlineStr">
        <is>
          <t>1405/03/05</t>
        </is>
      </c>
      <c r="E260" s="9" t="n"/>
      <c r="F260" s="5" t="n">
        <v>33594</v>
      </c>
      <c r="G260" s="5" t="n">
        <v>1110099</v>
      </c>
      <c r="H260" s="6" t="inlineStr">
        <is>
          <t>Capacitor 22PF,50V,NPO,5%</t>
        </is>
      </c>
      <c r="I260" s="6" t="inlineStr">
        <is>
          <t>عدد</t>
        </is>
      </c>
      <c r="J260" s="5" t="n">
        <v>2</v>
      </c>
      <c r="K260" s="5" t="n">
        <v>1</v>
      </c>
      <c r="L260" s="6" t="inlineStr">
        <is>
          <t>-</t>
        </is>
      </c>
      <c r="M260" s="9" t="n"/>
      <c r="N260" s="9" t="n"/>
      <c r="O260" s="5" t="n">
        <v>100</v>
      </c>
      <c r="P260" s="6" t="inlineStr">
        <is>
          <t>مصرف مستقیم</t>
        </is>
      </c>
      <c r="Q260" s="5">
        <f>SUMIFS('ورودی برنامه'!$D$4:$D$16,'ورودی برنامه'!$A$4:$A$16,A260,'ورودی برنامه'!$C$4:$C$16,C260)</f>
        <v>1460</v>
      </c>
      <c r="R260" s="5">
        <f>SUMIFS('ورودی برنامه'!$E$4:$E$16,'ورودی برنامه'!$A$4:$A$16,A260,'ورودی برنامه'!$C$4:$C$16,C260)</f>
        <v>1200</v>
      </c>
      <c r="S260" s="5">
        <f>ROUND(Q260*J260/K260*O260/100,10)</f>
        <v>2920</v>
      </c>
      <c r="T260" s="5">
        <f>ROUND(R260*J260/K260*O260/100,10)</f>
        <v>2400</v>
      </c>
      <c r="U260" s="5" t="n">
        <v>2920</v>
      </c>
      <c r="V260" s="5" t="n">
        <v>2400</v>
      </c>
    </row>
    <row r="261" ht="20" customHeight="1">
      <c r="A261" s="10" t="n">
        <v>1201643</v>
      </c>
      <c r="B261" s="11" t="inlineStr">
        <is>
          <t>جعبه الکترونیکی کنترل ماشینی شده NBCM_DENA_SBR-TOP</t>
        </is>
      </c>
      <c r="C261" s="11" t="inlineStr">
        <is>
          <t>13416020183</t>
        </is>
      </c>
      <c r="D261" s="11" t="inlineStr">
        <is>
          <t>1405/03/05</t>
        </is>
      </c>
      <c r="E261" s="13" t="n"/>
      <c r="F261" s="10" t="n">
        <v>33603</v>
      </c>
      <c r="G261" s="10" t="n">
        <v>1110101</v>
      </c>
      <c r="H261" s="11" t="inlineStr">
        <is>
          <t>Capacitor 47nF, X7R, 50V, 10%</t>
        </is>
      </c>
      <c r="I261" s="11" t="inlineStr">
        <is>
          <t>عدد</t>
        </is>
      </c>
      <c r="J261" s="10" t="n">
        <v>10</v>
      </c>
      <c r="K261" s="10" t="n">
        <v>1</v>
      </c>
      <c r="L261" s="11" t="inlineStr">
        <is>
          <t>-</t>
        </is>
      </c>
      <c r="M261" s="13" t="n"/>
      <c r="N261" s="13" t="n"/>
      <c r="O261" s="10" t="n">
        <v>100</v>
      </c>
      <c r="P261" s="11" t="inlineStr">
        <is>
          <t>مصرف مستقیم</t>
        </is>
      </c>
      <c r="Q261" s="10">
        <f>SUMIFS('ورودی برنامه'!$D$4:$D$16,'ورودی برنامه'!$A$4:$A$16,A261,'ورودی برنامه'!$C$4:$C$16,C261)</f>
        <v>1460</v>
      </c>
      <c r="R261" s="10">
        <f>SUMIFS('ورودی برنامه'!$E$4:$E$16,'ورودی برنامه'!$A$4:$A$16,A261,'ورودی برنامه'!$C$4:$C$16,C261)</f>
        <v>1200</v>
      </c>
      <c r="S261" s="10">
        <f>ROUND(Q261*J261/K261*O261/100,10)</f>
        <v>14600</v>
      </c>
      <c r="T261" s="10">
        <f>ROUND(R261*J261/K261*O261/100,10)</f>
        <v>12000</v>
      </c>
      <c r="U261" s="10" t="n">
        <v>14600</v>
      </c>
      <c r="V261" s="10" t="n">
        <v>12000</v>
      </c>
    </row>
    <row r="262" ht="20" customHeight="1">
      <c r="A262" s="5" t="n">
        <v>1201643</v>
      </c>
      <c r="B262" s="6" t="inlineStr">
        <is>
          <t>جعبه الکترونیکی کنترل ماشینی شده NBCM_DENA_SBR-TOP</t>
        </is>
      </c>
      <c r="C262" s="6" t="inlineStr">
        <is>
          <t>13416020183</t>
        </is>
      </c>
      <c r="D262" s="6" t="inlineStr">
        <is>
          <t>1405/03/05</t>
        </is>
      </c>
      <c r="E262" s="9" t="n"/>
      <c r="F262" s="5" t="n">
        <v>33942</v>
      </c>
      <c r="G262" s="5" t="n">
        <v>1110109</v>
      </c>
      <c r="H262" s="6" t="inlineStr">
        <is>
          <t>Capacitor 68pF , 5%,50V , X7R</t>
        </is>
      </c>
      <c r="I262" s="6" t="inlineStr">
        <is>
          <t>عدد</t>
        </is>
      </c>
      <c r="J262" s="5" t="n">
        <v>1</v>
      </c>
      <c r="K262" s="5" t="n">
        <v>1</v>
      </c>
      <c r="L262" s="6" t="inlineStr">
        <is>
          <t>-</t>
        </is>
      </c>
      <c r="M262" s="9" t="n"/>
      <c r="N262" s="9" t="n"/>
      <c r="O262" s="5" t="n">
        <v>100</v>
      </c>
      <c r="P262" s="6" t="inlineStr">
        <is>
          <t>مصرف مستقیم</t>
        </is>
      </c>
      <c r="Q262" s="5">
        <f>SUMIFS('ورودی برنامه'!$D$4:$D$16,'ورودی برنامه'!$A$4:$A$16,A262,'ورودی برنامه'!$C$4:$C$16,C262)</f>
        <v>1460</v>
      </c>
      <c r="R262" s="5">
        <f>SUMIFS('ورودی برنامه'!$E$4:$E$16,'ورودی برنامه'!$A$4:$A$16,A262,'ورودی برنامه'!$C$4:$C$16,C262)</f>
        <v>1200</v>
      </c>
      <c r="S262" s="5">
        <f>ROUND(Q262*J262/K262*O262/100,10)</f>
        <v>1460</v>
      </c>
      <c r="T262" s="5">
        <f>ROUND(R262*J262/K262*O262/100,10)</f>
        <v>1200</v>
      </c>
      <c r="U262" s="5" t="n">
        <v>1460</v>
      </c>
      <c r="V262" s="5" t="n">
        <v>1200</v>
      </c>
    </row>
    <row r="263" ht="20" customHeight="1">
      <c r="A263" s="10" t="n">
        <v>1201643</v>
      </c>
      <c r="B263" s="11" t="inlineStr">
        <is>
          <t>جعبه الکترونیکی کنترل ماشینی شده NBCM_DENA_SBR-TOP</t>
        </is>
      </c>
      <c r="C263" s="11" t="inlineStr">
        <is>
          <t>13416020183</t>
        </is>
      </c>
      <c r="D263" s="11" t="inlineStr">
        <is>
          <t>1405/03/05</t>
        </is>
      </c>
      <c r="E263" s="13" t="n"/>
      <c r="F263" s="10" t="n">
        <v>34031</v>
      </c>
      <c r="G263" s="10" t="n">
        <v>1110755</v>
      </c>
      <c r="H263" s="11" t="inlineStr">
        <is>
          <t>Resistor 60.4 ,1%,1/2W</t>
        </is>
      </c>
      <c r="I263" s="11" t="inlineStr">
        <is>
          <t>عدد</t>
        </is>
      </c>
      <c r="J263" s="10" t="n">
        <v>2</v>
      </c>
      <c r="K263" s="10" t="n">
        <v>1</v>
      </c>
      <c r="L263" s="11" t="inlineStr">
        <is>
          <t>-</t>
        </is>
      </c>
      <c r="M263" s="13" t="n"/>
      <c r="N263" s="13" t="n"/>
      <c r="O263" s="10" t="n">
        <v>100</v>
      </c>
      <c r="P263" s="11" t="inlineStr">
        <is>
          <t>مصرف مستقیم</t>
        </is>
      </c>
      <c r="Q263" s="10">
        <f>SUMIFS('ورودی برنامه'!$D$4:$D$16,'ورودی برنامه'!$A$4:$A$16,A263,'ورودی برنامه'!$C$4:$C$16,C263)</f>
        <v>1460</v>
      </c>
      <c r="R263" s="10">
        <f>SUMIFS('ورودی برنامه'!$E$4:$E$16,'ورودی برنامه'!$A$4:$A$16,A263,'ورودی برنامه'!$C$4:$C$16,C263)</f>
        <v>1200</v>
      </c>
      <c r="S263" s="10">
        <f>ROUND(Q263*J263/K263*O263/100,10)</f>
        <v>2920</v>
      </c>
      <c r="T263" s="10">
        <f>ROUND(R263*J263/K263*O263/100,10)</f>
        <v>2400</v>
      </c>
      <c r="U263" s="10" t="n">
        <v>2920</v>
      </c>
      <c r="V263" s="10" t="n">
        <v>2400</v>
      </c>
    </row>
    <row r="264" ht="20" customHeight="1">
      <c r="A264" s="5" t="n">
        <v>1201643</v>
      </c>
      <c r="B264" s="6" t="inlineStr">
        <is>
          <t>جعبه الکترونیکی کنترل ماشینی شده NBCM_DENA_SBR-TOP</t>
        </is>
      </c>
      <c r="C264" s="6" t="inlineStr">
        <is>
          <t>13416020183</t>
        </is>
      </c>
      <c r="D264" s="6" t="inlineStr">
        <is>
          <t>1405/03/05</t>
        </is>
      </c>
      <c r="E264" s="9" t="n"/>
      <c r="F264" s="5" t="n">
        <v>34032</v>
      </c>
      <c r="G264" s="5" t="n">
        <v>1110758</v>
      </c>
      <c r="H264" s="6" t="inlineStr">
        <is>
          <t>Resistor 1K,5%,1/2W</t>
        </is>
      </c>
      <c r="I264" s="6" t="inlineStr">
        <is>
          <t>عدد</t>
        </is>
      </c>
      <c r="J264" s="5" t="n">
        <v>2</v>
      </c>
      <c r="K264" s="5" t="n">
        <v>1</v>
      </c>
      <c r="L264" s="6" t="inlineStr">
        <is>
          <t>-</t>
        </is>
      </c>
      <c r="M264" s="9" t="n"/>
      <c r="N264" s="9" t="n"/>
      <c r="O264" s="5" t="n">
        <v>100</v>
      </c>
      <c r="P264" s="6" t="inlineStr">
        <is>
          <t>مصرف مستقیم</t>
        </is>
      </c>
      <c r="Q264" s="5">
        <f>SUMIFS('ورودی برنامه'!$D$4:$D$16,'ورودی برنامه'!$A$4:$A$16,A264,'ورودی برنامه'!$C$4:$C$16,C264)</f>
        <v>1460</v>
      </c>
      <c r="R264" s="5">
        <f>SUMIFS('ورودی برنامه'!$E$4:$E$16,'ورودی برنامه'!$A$4:$A$16,A264,'ورودی برنامه'!$C$4:$C$16,C264)</f>
        <v>1200</v>
      </c>
      <c r="S264" s="5">
        <f>ROUND(Q264*J264/K264*O264/100,10)</f>
        <v>2920</v>
      </c>
      <c r="T264" s="5">
        <f>ROUND(R264*J264/K264*O264/100,10)</f>
        <v>2400</v>
      </c>
      <c r="U264" s="5" t="n">
        <v>2920</v>
      </c>
      <c r="V264" s="5" t="n">
        <v>2400</v>
      </c>
    </row>
    <row r="265" ht="20" customHeight="1">
      <c r="A265" s="10" t="n">
        <v>1201643</v>
      </c>
      <c r="B265" s="11" t="inlineStr">
        <is>
          <t>جعبه الکترونیکی کنترل ماشینی شده NBCM_DENA_SBR-TOP</t>
        </is>
      </c>
      <c r="C265" s="11" t="inlineStr">
        <is>
          <t>13416020183</t>
        </is>
      </c>
      <c r="D265" s="11" t="inlineStr">
        <is>
          <t>1405/03/05</t>
        </is>
      </c>
      <c r="E265" s="13" t="n"/>
      <c r="F265" s="10" t="n">
        <v>34407</v>
      </c>
      <c r="G265" s="10" t="n">
        <v>1110760</v>
      </c>
      <c r="H265" s="11" t="inlineStr">
        <is>
          <t>Resistor 47,5%,1/10W</t>
        </is>
      </c>
      <c r="I265" s="11" t="inlineStr">
        <is>
          <t>عدد</t>
        </is>
      </c>
      <c r="J265" s="10" t="n">
        <v>12</v>
      </c>
      <c r="K265" s="10" t="n">
        <v>1</v>
      </c>
      <c r="L265" s="11" t="inlineStr">
        <is>
          <t>-</t>
        </is>
      </c>
      <c r="M265" s="13" t="n"/>
      <c r="N265" s="13" t="n"/>
      <c r="O265" s="10" t="n">
        <v>100</v>
      </c>
      <c r="P265" s="11" t="inlineStr">
        <is>
          <t>مصرف مستقیم</t>
        </is>
      </c>
      <c r="Q265" s="10">
        <f>SUMIFS('ورودی برنامه'!$D$4:$D$16,'ورودی برنامه'!$A$4:$A$16,A265,'ورودی برنامه'!$C$4:$C$16,C265)</f>
        <v>1460</v>
      </c>
      <c r="R265" s="10">
        <f>SUMIFS('ورودی برنامه'!$E$4:$E$16,'ورودی برنامه'!$A$4:$A$16,A265,'ورودی برنامه'!$C$4:$C$16,C265)</f>
        <v>1200</v>
      </c>
      <c r="S265" s="10">
        <f>ROUND(Q265*J265/K265*O265/100,10)</f>
        <v>17520</v>
      </c>
      <c r="T265" s="10">
        <f>ROUND(R265*J265/K265*O265/100,10)</f>
        <v>14400</v>
      </c>
      <c r="U265" s="10" t="n">
        <v>17520</v>
      </c>
      <c r="V265" s="10" t="n">
        <v>14400</v>
      </c>
    </row>
    <row r="266" ht="20" customHeight="1">
      <c r="A266" s="5" t="n">
        <v>1201643</v>
      </c>
      <c r="B266" s="6" t="inlineStr">
        <is>
          <t>جعبه الکترونیکی کنترل ماشینی شده NBCM_DENA_SBR-TOP</t>
        </is>
      </c>
      <c r="C266" s="6" t="inlineStr">
        <is>
          <t>13416020183</t>
        </is>
      </c>
      <c r="D266" s="6" t="inlineStr">
        <is>
          <t>1405/03/05</t>
        </is>
      </c>
      <c r="E266" s="9" t="n"/>
      <c r="F266" s="5" t="n">
        <v>34415</v>
      </c>
      <c r="G266" s="5" t="n">
        <v>1110761</v>
      </c>
      <c r="H266" s="6" t="inlineStr">
        <is>
          <t>Resistor 4.7k, 1%, 1/16W</t>
        </is>
      </c>
      <c r="I266" s="6" t="inlineStr">
        <is>
          <t>عدد</t>
        </is>
      </c>
      <c r="J266" s="5" t="n">
        <v>46</v>
      </c>
      <c r="K266" s="5" t="n">
        <v>1</v>
      </c>
      <c r="L266" s="6" t="inlineStr">
        <is>
          <t>2</t>
        </is>
      </c>
      <c r="M266" s="5" t="n">
        <v>2</v>
      </c>
      <c r="N266" s="5" t="n">
        <v>50</v>
      </c>
      <c r="O266" s="5">
        <f>N266</f>
        <v>50</v>
      </c>
      <c r="P266" s="6" t="inlineStr">
        <is>
          <t>سهم درصد استفاده BOM</t>
        </is>
      </c>
      <c r="Q266" s="5">
        <f>SUMIFS('ورودی برنامه'!$D$4:$D$16,'ورودی برنامه'!$A$4:$A$16,A266,'ورودی برنامه'!$C$4:$C$16,C266)</f>
        <v>1460</v>
      </c>
      <c r="R266" s="5">
        <f>SUMIFS('ورودی برنامه'!$E$4:$E$16,'ورودی برنامه'!$A$4:$A$16,A266,'ورودی برنامه'!$C$4:$C$16,C266)</f>
        <v>1200</v>
      </c>
      <c r="S266" s="5">
        <f>ROUND(Q266*J266/K266*O266/100,10)</f>
        <v>33580</v>
      </c>
      <c r="T266" s="5">
        <f>ROUND(R266*J266/K266*O266/100,10)</f>
        <v>27600</v>
      </c>
      <c r="U266" s="5" t="n">
        <v>980</v>
      </c>
      <c r="V266" s="5" t="n">
        <v>0</v>
      </c>
    </row>
    <row r="267" ht="20" customHeight="1">
      <c r="A267" s="10" t="n">
        <v>1201643</v>
      </c>
      <c r="B267" s="11" t="inlineStr">
        <is>
          <t>جعبه الکترونیکی کنترل ماشینی شده NBCM_DENA_SBR-TOP</t>
        </is>
      </c>
      <c r="C267" s="11" t="inlineStr">
        <is>
          <t>13416020183</t>
        </is>
      </c>
      <c r="D267" s="11" t="inlineStr">
        <is>
          <t>1405/03/05</t>
        </is>
      </c>
      <c r="E267" s="13" t="n"/>
      <c r="F267" s="10" t="n">
        <v>34750</v>
      </c>
      <c r="G267" s="10" t="n">
        <v>1110763</v>
      </c>
      <c r="H267" s="11" t="inlineStr">
        <is>
          <t>Resistor 300K, 1%,1/16W</t>
        </is>
      </c>
      <c r="I267" s="11" t="inlineStr">
        <is>
          <t>عدد</t>
        </is>
      </c>
      <c r="J267" s="10" t="n">
        <v>7</v>
      </c>
      <c r="K267" s="10" t="n">
        <v>1</v>
      </c>
      <c r="L267" s="11" t="inlineStr">
        <is>
          <t>-</t>
        </is>
      </c>
      <c r="M267" s="13" t="n"/>
      <c r="N267" s="13" t="n"/>
      <c r="O267" s="10" t="n">
        <v>100</v>
      </c>
      <c r="P267" s="11" t="inlineStr">
        <is>
          <t>مصرف مستقیم</t>
        </is>
      </c>
      <c r="Q267" s="10">
        <f>SUMIFS('ورودی برنامه'!$D$4:$D$16,'ورودی برنامه'!$A$4:$A$16,A267,'ورودی برنامه'!$C$4:$C$16,C267)</f>
        <v>1460</v>
      </c>
      <c r="R267" s="10">
        <f>SUMIFS('ورودی برنامه'!$E$4:$E$16,'ورودی برنامه'!$A$4:$A$16,A267,'ورودی برنامه'!$C$4:$C$16,C267)</f>
        <v>1200</v>
      </c>
      <c r="S267" s="10">
        <f>ROUND(Q267*J267/K267*O267/100,10)</f>
        <v>10220</v>
      </c>
      <c r="T267" s="10">
        <f>ROUND(R267*J267/K267*O267/100,10)</f>
        <v>8400</v>
      </c>
      <c r="U267" s="10" t="n">
        <v>10220</v>
      </c>
      <c r="V267" s="10" t="n">
        <v>8400</v>
      </c>
    </row>
    <row r="268" ht="20" customHeight="1">
      <c r="A268" s="5" t="n">
        <v>1201643</v>
      </c>
      <c r="B268" s="6" t="inlineStr">
        <is>
          <t>جعبه الکترونیکی کنترل ماشینی شده NBCM_DENA_SBR-TOP</t>
        </is>
      </c>
      <c r="C268" s="6" t="inlineStr">
        <is>
          <t>13416020183</t>
        </is>
      </c>
      <c r="D268" s="6" t="inlineStr">
        <is>
          <t>1405/03/05</t>
        </is>
      </c>
      <c r="E268" s="9" t="n"/>
      <c r="F268" s="5" t="n">
        <v>34915</v>
      </c>
      <c r="G268" s="5" t="n">
        <v>1110764</v>
      </c>
      <c r="H268" s="6" t="inlineStr">
        <is>
          <t>Shunt 10mf</t>
        </is>
      </c>
      <c r="I268" s="6" t="inlineStr">
        <is>
          <t>عدد</t>
        </is>
      </c>
      <c r="J268" s="5" t="n">
        <v>4</v>
      </c>
      <c r="K268" s="5" t="n">
        <v>1</v>
      </c>
      <c r="L268" s="6" t="inlineStr">
        <is>
          <t>-</t>
        </is>
      </c>
      <c r="M268" s="9" t="n"/>
      <c r="N268" s="9" t="n"/>
      <c r="O268" s="5" t="n">
        <v>100</v>
      </c>
      <c r="P268" s="6" t="inlineStr">
        <is>
          <t>مصرف مستقیم</t>
        </is>
      </c>
      <c r="Q268" s="5">
        <f>SUMIFS('ورودی برنامه'!$D$4:$D$16,'ورودی برنامه'!$A$4:$A$16,A268,'ورودی برنامه'!$C$4:$C$16,C268)</f>
        <v>1460</v>
      </c>
      <c r="R268" s="5">
        <f>SUMIFS('ورودی برنامه'!$E$4:$E$16,'ورودی برنامه'!$A$4:$A$16,A268,'ورودی برنامه'!$C$4:$C$16,C268)</f>
        <v>1200</v>
      </c>
      <c r="S268" s="5">
        <f>ROUND(Q268*J268/K268*O268/100,10)</f>
        <v>5840</v>
      </c>
      <c r="T268" s="5">
        <f>ROUND(R268*J268/K268*O268/100,10)</f>
        <v>4800</v>
      </c>
      <c r="U268" s="5" t="n">
        <v>5840</v>
      </c>
      <c r="V268" s="5" t="n">
        <v>4800</v>
      </c>
    </row>
    <row r="269" ht="20" customHeight="1">
      <c r="A269" s="10" t="n">
        <v>1201643</v>
      </c>
      <c r="B269" s="11" t="inlineStr">
        <is>
          <t>جعبه الکترونیکی کنترل ماشینی شده NBCM_DENA_SBR-TOP</t>
        </is>
      </c>
      <c r="C269" s="11" t="inlineStr">
        <is>
          <t>13416020183</t>
        </is>
      </c>
      <c r="D269" s="11" t="inlineStr">
        <is>
          <t>1405/03/05</t>
        </is>
      </c>
      <c r="E269" s="13" t="n"/>
      <c r="F269" s="10" t="n">
        <v>34920</v>
      </c>
      <c r="G269" s="10" t="n">
        <v>1110766</v>
      </c>
      <c r="H269" s="11" t="inlineStr">
        <is>
          <t>Resistor 43K,1%,1/10W</t>
        </is>
      </c>
      <c r="I269" s="11" t="inlineStr">
        <is>
          <t>عدد</t>
        </is>
      </c>
      <c r="J269" s="10" t="n">
        <v>17</v>
      </c>
      <c r="K269" s="10" t="n">
        <v>1</v>
      </c>
      <c r="L269" s="11" t="inlineStr">
        <is>
          <t>-</t>
        </is>
      </c>
      <c r="M269" s="13" t="n"/>
      <c r="N269" s="13" t="n"/>
      <c r="O269" s="10" t="n">
        <v>100</v>
      </c>
      <c r="P269" s="11" t="inlineStr">
        <is>
          <t>مصرف مستقیم</t>
        </is>
      </c>
      <c r="Q269" s="10">
        <f>SUMIFS('ورودی برنامه'!$D$4:$D$16,'ورودی برنامه'!$A$4:$A$16,A269,'ورودی برنامه'!$C$4:$C$16,C269)</f>
        <v>1460</v>
      </c>
      <c r="R269" s="10">
        <f>SUMIFS('ورودی برنامه'!$E$4:$E$16,'ورودی برنامه'!$A$4:$A$16,A269,'ورودی برنامه'!$C$4:$C$16,C269)</f>
        <v>1200</v>
      </c>
      <c r="S269" s="10">
        <f>ROUND(Q269*J269/K269*O269/100,10)</f>
        <v>24820</v>
      </c>
      <c r="T269" s="10">
        <f>ROUND(R269*J269/K269*O269/100,10)</f>
        <v>20400</v>
      </c>
      <c r="U269" s="10" t="n">
        <v>24820</v>
      </c>
      <c r="V269" s="10" t="n">
        <v>20400</v>
      </c>
    </row>
    <row r="270" ht="20" customHeight="1">
      <c r="A270" s="5" t="n">
        <v>1201643</v>
      </c>
      <c r="B270" s="6" t="inlineStr">
        <is>
          <t>جعبه الکترونیکی کنترل ماشینی شده NBCM_DENA_SBR-TOP</t>
        </is>
      </c>
      <c r="C270" s="6" t="inlineStr">
        <is>
          <t>13416020183</t>
        </is>
      </c>
      <c r="D270" s="6" t="inlineStr">
        <is>
          <t>1405/03/05</t>
        </is>
      </c>
      <c r="E270" s="9" t="n"/>
      <c r="F270" s="5" t="n">
        <v>35132</v>
      </c>
      <c r="G270" s="5" t="n">
        <v>1110749</v>
      </c>
      <c r="H270" s="6" t="inlineStr">
        <is>
          <t>Resistor 47K ,1%,1/16W</t>
        </is>
      </c>
      <c r="I270" s="6" t="inlineStr">
        <is>
          <t>عدد</t>
        </is>
      </c>
      <c r="J270" s="5" t="n">
        <v>1</v>
      </c>
      <c r="K270" s="5" t="n">
        <v>1</v>
      </c>
      <c r="L270" s="6" t="inlineStr">
        <is>
          <t>-</t>
        </is>
      </c>
      <c r="M270" s="9" t="n"/>
      <c r="N270" s="9" t="n"/>
      <c r="O270" s="5" t="n">
        <v>100</v>
      </c>
      <c r="P270" s="6" t="inlineStr">
        <is>
          <t>مصرف مستقیم</t>
        </is>
      </c>
      <c r="Q270" s="5">
        <f>SUMIFS('ورودی برنامه'!$D$4:$D$16,'ورودی برنامه'!$A$4:$A$16,A270,'ورودی برنامه'!$C$4:$C$16,C270)</f>
        <v>1460</v>
      </c>
      <c r="R270" s="5">
        <f>SUMIFS('ورودی برنامه'!$E$4:$E$16,'ورودی برنامه'!$A$4:$A$16,A270,'ورودی برنامه'!$C$4:$C$16,C270)</f>
        <v>1200</v>
      </c>
      <c r="S270" s="5">
        <f>ROUND(Q270*J270/K270*O270/100,10)</f>
        <v>1460</v>
      </c>
      <c r="T270" s="5">
        <f>ROUND(R270*J270/K270*O270/100,10)</f>
        <v>1200</v>
      </c>
      <c r="U270" s="5" t="n">
        <v>1460</v>
      </c>
      <c r="V270" s="5" t="n">
        <v>1200</v>
      </c>
    </row>
    <row r="271" ht="20" customHeight="1">
      <c r="A271" s="10" t="n">
        <v>1201643</v>
      </c>
      <c r="B271" s="11" t="inlineStr">
        <is>
          <t>جعبه الکترونیکی کنترل ماشینی شده NBCM_DENA_SBR-TOP</t>
        </is>
      </c>
      <c r="C271" s="11" t="inlineStr">
        <is>
          <t>13416020183</t>
        </is>
      </c>
      <c r="D271" s="11" t="inlineStr">
        <is>
          <t>1405/03/05</t>
        </is>
      </c>
      <c r="E271" s="13" t="n"/>
      <c r="F271" s="10" t="n">
        <v>35405</v>
      </c>
      <c r="G271" s="10" t="n">
        <v>1110808</v>
      </c>
      <c r="H271" s="11" t="inlineStr">
        <is>
          <t>Diode Zener BZT52B5V6</t>
        </is>
      </c>
      <c r="I271" s="11" t="inlineStr">
        <is>
          <t>عدد</t>
        </is>
      </c>
      <c r="J271" s="10" t="n">
        <v>3</v>
      </c>
      <c r="K271" s="10" t="n">
        <v>1</v>
      </c>
      <c r="L271" s="11" t="inlineStr">
        <is>
          <t>-</t>
        </is>
      </c>
      <c r="M271" s="13" t="n"/>
      <c r="N271" s="13" t="n"/>
      <c r="O271" s="10" t="n">
        <v>100</v>
      </c>
      <c r="P271" s="11" t="inlineStr">
        <is>
          <t>مصرف مستقیم</t>
        </is>
      </c>
      <c r="Q271" s="10">
        <f>SUMIFS('ورودی برنامه'!$D$4:$D$16,'ورودی برنامه'!$A$4:$A$16,A271,'ورودی برنامه'!$C$4:$C$16,C271)</f>
        <v>1460</v>
      </c>
      <c r="R271" s="10">
        <f>SUMIFS('ورودی برنامه'!$E$4:$E$16,'ورودی برنامه'!$A$4:$A$16,A271,'ورودی برنامه'!$C$4:$C$16,C271)</f>
        <v>1200</v>
      </c>
      <c r="S271" s="10">
        <f>ROUND(Q271*J271/K271*O271/100,10)</f>
        <v>4380</v>
      </c>
      <c r="T271" s="10">
        <f>ROUND(R271*J271/K271*O271/100,10)</f>
        <v>3600</v>
      </c>
      <c r="U271" s="10" t="n">
        <v>4380</v>
      </c>
      <c r="V271" s="10" t="n">
        <v>3600</v>
      </c>
    </row>
    <row r="272" ht="20" customHeight="1">
      <c r="A272" s="5" t="n">
        <v>1201643</v>
      </c>
      <c r="B272" s="6" t="inlineStr">
        <is>
          <t>جعبه الکترونیکی کنترل ماشینی شده NBCM_DENA_SBR-TOP</t>
        </is>
      </c>
      <c r="C272" s="6" t="inlineStr">
        <is>
          <t>13416020183</t>
        </is>
      </c>
      <c r="D272" s="6" t="inlineStr">
        <is>
          <t>1405/03/05</t>
        </is>
      </c>
      <c r="E272" s="9" t="n"/>
      <c r="F272" s="5" t="n">
        <v>35553</v>
      </c>
      <c r="G272" s="5" t="n">
        <v>1110502</v>
      </c>
      <c r="H272" s="6" t="inlineStr">
        <is>
          <t>IC Microcontroller R7F7010323AFP</t>
        </is>
      </c>
      <c r="I272" s="6" t="inlineStr">
        <is>
          <t>عدد</t>
        </is>
      </c>
      <c r="J272" s="5" t="n">
        <v>1</v>
      </c>
      <c r="K272" s="5" t="n">
        <v>1</v>
      </c>
      <c r="L272" s="6" t="inlineStr">
        <is>
          <t>8</t>
        </is>
      </c>
      <c r="M272" s="5" t="n">
        <v>1</v>
      </c>
      <c r="N272" s="5" t="n">
        <v>34</v>
      </c>
      <c r="O272" s="5">
        <f>N272</f>
        <v>34</v>
      </c>
      <c r="P272" s="6" t="inlineStr">
        <is>
          <t>سهم درصد استفاده BOM</t>
        </is>
      </c>
      <c r="Q272" s="5">
        <f>SUMIFS('ورودی برنامه'!$D$4:$D$16,'ورودی برنامه'!$A$4:$A$16,A272,'ورودی برنامه'!$C$4:$C$16,C272)</f>
        <v>1460</v>
      </c>
      <c r="R272" s="5">
        <f>SUMIFS('ورودی برنامه'!$E$4:$E$16,'ورودی برنامه'!$A$4:$A$16,A272,'ورودی برنامه'!$C$4:$C$16,C272)</f>
        <v>1200</v>
      </c>
      <c r="S272" s="5">
        <f>ROUND(Q272*J272/K272*O272/100,10)</f>
        <v>496.4</v>
      </c>
      <c r="T272" s="5">
        <f>ROUND(R272*J272/K272*O272/100,10)</f>
        <v>408</v>
      </c>
      <c r="U272" s="5" t="n">
        <v>1460</v>
      </c>
      <c r="V272" s="5" t="n">
        <v>1200</v>
      </c>
    </row>
    <row r="273" ht="20" customHeight="1">
      <c r="A273" s="10" t="n">
        <v>1201643</v>
      </c>
      <c r="B273" s="11" t="inlineStr">
        <is>
          <t>جعبه الکترونیکی کنترل ماشینی شده NBCM_DENA_SBR-TOP</t>
        </is>
      </c>
      <c r="C273" s="11" t="inlineStr">
        <is>
          <t>13416020183</t>
        </is>
      </c>
      <c r="D273" s="11" t="inlineStr">
        <is>
          <t>1405/03/05</t>
        </is>
      </c>
      <c r="E273" s="13" t="n"/>
      <c r="F273" s="10" t="n">
        <v>35558</v>
      </c>
      <c r="G273" s="10" t="n">
        <v>1110504</v>
      </c>
      <c r="H273" s="11" t="inlineStr">
        <is>
          <t>IC BTS7012-1EPA</t>
        </is>
      </c>
      <c r="I273" s="11" t="inlineStr">
        <is>
          <t>عدد</t>
        </is>
      </c>
      <c r="J273" s="10" t="n">
        <v>2</v>
      </c>
      <c r="K273" s="10" t="n">
        <v>1</v>
      </c>
      <c r="L273" s="11" t="inlineStr">
        <is>
          <t>-</t>
        </is>
      </c>
      <c r="M273" s="13" t="n"/>
      <c r="N273" s="13" t="n"/>
      <c r="O273" s="10" t="n">
        <v>100</v>
      </c>
      <c r="P273" s="11" t="inlineStr">
        <is>
          <t>مصرف مستقیم</t>
        </is>
      </c>
      <c r="Q273" s="10">
        <f>SUMIFS('ورودی برنامه'!$D$4:$D$16,'ورودی برنامه'!$A$4:$A$16,A273,'ورودی برنامه'!$C$4:$C$16,C273)</f>
        <v>1460</v>
      </c>
      <c r="R273" s="10">
        <f>SUMIFS('ورودی برنامه'!$E$4:$E$16,'ورودی برنامه'!$A$4:$A$16,A273,'ورودی برنامه'!$C$4:$C$16,C273)</f>
        <v>1200</v>
      </c>
      <c r="S273" s="10">
        <f>ROUND(Q273*J273/K273*O273/100,10)</f>
        <v>2920</v>
      </c>
      <c r="T273" s="10">
        <f>ROUND(R273*J273/K273*O273/100,10)</f>
        <v>2400</v>
      </c>
      <c r="U273" s="10" t="n">
        <v>2920</v>
      </c>
      <c r="V273" s="10" t="n">
        <v>2400</v>
      </c>
    </row>
    <row r="274" ht="20" customHeight="1">
      <c r="A274" s="5" t="n">
        <v>1201643</v>
      </c>
      <c r="B274" s="6" t="inlineStr">
        <is>
          <t>جعبه الکترونیکی کنترل ماشینی شده NBCM_DENA_SBR-TOP</t>
        </is>
      </c>
      <c r="C274" s="6" t="inlineStr">
        <is>
          <t>13416020183</t>
        </is>
      </c>
      <c r="D274" s="6" t="inlineStr">
        <is>
          <t>1405/03/05</t>
        </is>
      </c>
      <c r="E274" s="9" t="n"/>
      <c r="F274" s="5" t="n">
        <v>35708</v>
      </c>
      <c r="G274" s="5" t="n">
        <v>1110505</v>
      </c>
      <c r="H274" s="6" t="inlineStr">
        <is>
          <t>IC BTS7200-2EPA</t>
        </is>
      </c>
      <c r="I274" s="6" t="inlineStr">
        <is>
          <t>عدد</t>
        </is>
      </c>
      <c r="J274" s="5" t="n">
        <v>3</v>
      </c>
      <c r="K274" s="5" t="n">
        <v>1</v>
      </c>
      <c r="L274" s="6" t="inlineStr">
        <is>
          <t>-</t>
        </is>
      </c>
      <c r="M274" s="9" t="n"/>
      <c r="N274" s="9" t="n"/>
      <c r="O274" s="5" t="n">
        <v>100</v>
      </c>
      <c r="P274" s="6" t="inlineStr">
        <is>
          <t>مصرف مستقیم</t>
        </is>
      </c>
      <c r="Q274" s="5">
        <f>SUMIFS('ورودی برنامه'!$D$4:$D$16,'ورودی برنامه'!$A$4:$A$16,A274,'ورودی برنامه'!$C$4:$C$16,C274)</f>
        <v>1460</v>
      </c>
      <c r="R274" s="5">
        <f>SUMIFS('ورودی برنامه'!$E$4:$E$16,'ورودی برنامه'!$A$4:$A$16,A274,'ورودی برنامه'!$C$4:$C$16,C274)</f>
        <v>1200</v>
      </c>
      <c r="S274" s="5">
        <f>ROUND(Q274*J274/K274*O274/100,10)</f>
        <v>4380</v>
      </c>
      <c r="T274" s="5">
        <f>ROUND(R274*J274/K274*O274/100,10)</f>
        <v>3600</v>
      </c>
      <c r="U274" s="5" t="n">
        <v>4380</v>
      </c>
      <c r="V274" s="5" t="n">
        <v>3600</v>
      </c>
    </row>
    <row r="275" ht="20" customHeight="1">
      <c r="A275" s="10" t="n">
        <v>1201643</v>
      </c>
      <c r="B275" s="11" t="inlineStr">
        <is>
          <t>جعبه الکترونیکی کنترل ماشینی شده NBCM_DENA_SBR-TOP</t>
        </is>
      </c>
      <c r="C275" s="11" t="inlineStr">
        <is>
          <t>13416020183</t>
        </is>
      </c>
      <c r="D275" s="11" t="inlineStr">
        <is>
          <t>1405/03/05</t>
        </is>
      </c>
      <c r="E275" s="13" t="n"/>
      <c r="F275" s="10" t="n">
        <v>35713</v>
      </c>
      <c r="G275" s="10" t="n">
        <v>1110506</v>
      </c>
      <c r="H275" s="11" t="inlineStr">
        <is>
          <t>IC BTS7030-2EPA</t>
        </is>
      </c>
      <c r="I275" s="11" t="inlineStr">
        <is>
          <t>عدد</t>
        </is>
      </c>
      <c r="J275" s="10" t="n">
        <v>7</v>
      </c>
      <c r="K275" s="10" t="n">
        <v>1</v>
      </c>
      <c r="L275" s="11" t="inlineStr">
        <is>
          <t>-</t>
        </is>
      </c>
      <c r="M275" s="13" t="n"/>
      <c r="N275" s="13" t="n"/>
      <c r="O275" s="10" t="n">
        <v>100</v>
      </c>
      <c r="P275" s="11" t="inlineStr">
        <is>
          <t>مصرف مستقیم</t>
        </is>
      </c>
      <c r="Q275" s="10">
        <f>SUMIFS('ورودی برنامه'!$D$4:$D$16,'ورودی برنامه'!$A$4:$A$16,A275,'ورودی برنامه'!$C$4:$C$16,C275)</f>
        <v>1460</v>
      </c>
      <c r="R275" s="10">
        <f>SUMIFS('ورودی برنامه'!$E$4:$E$16,'ورودی برنامه'!$A$4:$A$16,A275,'ورودی برنامه'!$C$4:$C$16,C275)</f>
        <v>1200</v>
      </c>
      <c r="S275" s="10">
        <f>ROUND(Q275*J275/K275*O275/100,10)</f>
        <v>10220</v>
      </c>
      <c r="T275" s="10">
        <f>ROUND(R275*J275/K275*O275/100,10)</f>
        <v>8400</v>
      </c>
      <c r="U275" s="10" t="n">
        <v>10220</v>
      </c>
      <c r="V275" s="10" t="n">
        <v>8400</v>
      </c>
    </row>
    <row r="276" ht="20" customHeight="1">
      <c r="A276" s="5" t="n">
        <v>1201643</v>
      </c>
      <c r="B276" s="6" t="inlineStr">
        <is>
          <t>جعبه الکترونیکی کنترل ماشینی شده NBCM_DENA_SBR-TOP</t>
        </is>
      </c>
      <c r="C276" s="6" t="inlineStr">
        <is>
          <t>13416020183</t>
        </is>
      </c>
      <c r="D276" s="6" t="inlineStr">
        <is>
          <t>1405/03/05</t>
        </is>
      </c>
      <c r="E276" s="9" t="n"/>
      <c r="F276" s="5" t="n">
        <v>37536</v>
      </c>
      <c r="G276" s="5" t="n">
        <v>1110779</v>
      </c>
      <c r="H276" s="6" t="inlineStr">
        <is>
          <t>Resistor 27K,1%,1/10W</t>
        </is>
      </c>
      <c r="I276" s="6" t="inlineStr">
        <is>
          <t>عدد</t>
        </is>
      </c>
      <c r="J276" s="5" t="n">
        <v>1</v>
      </c>
      <c r="K276" s="5" t="n">
        <v>1</v>
      </c>
      <c r="L276" s="6" t="inlineStr">
        <is>
          <t>-</t>
        </is>
      </c>
      <c r="M276" s="9" t="n"/>
      <c r="N276" s="9" t="n"/>
      <c r="O276" s="5" t="n">
        <v>100</v>
      </c>
      <c r="P276" s="6" t="inlineStr">
        <is>
          <t>مصرف مستقیم</t>
        </is>
      </c>
      <c r="Q276" s="5">
        <f>SUMIFS('ورودی برنامه'!$D$4:$D$16,'ورودی برنامه'!$A$4:$A$16,A276,'ورودی برنامه'!$C$4:$C$16,C276)</f>
        <v>1460</v>
      </c>
      <c r="R276" s="5">
        <f>SUMIFS('ورودی برنامه'!$E$4:$E$16,'ورودی برنامه'!$A$4:$A$16,A276,'ورودی برنامه'!$C$4:$C$16,C276)</f>
        <v>1200</v>
      </c>
      <c r="S276" s="5">
        <f>ROUND(Q276*J276/K276*O276/100,10)</f>
        <v>1460</v>
      </c>
      <c r="T276" s="5">
        <f>ROUND(R276*J276/K276*O276/100,10)</f>
        <v>1200</v>
      </c>
      <c r="U276" s="5" t="n">
        <v>1460</v>
      </c>
      <c r="V276" s="5" t="n">
        <v>1200</v>
      </c>
    </row>
    <row r="277" ht="20" customHeight="1">
      <c r="A277" s="10" t="n">
        <v>1201643</v>
      </c>
      <c r="B277" s="11" t="inlineStr">
        <is>
          <t>جعبه الکترونیکی کنترل ماشینی شده NBCM_DENA_SBR-TOP</t>
        </is>
      </c>
      <c r="C277" s="11" t="inlineStr">
        <is>
          <t>13416020183</t>
        </is>
      </c>
      <c r="D277" s="11" t="inlineStr">
        <is>
          <t>1405/03/05</t>
        </is>
      </c>
      <c r="E277" s="13" t="n"/>
      <c r="F277" s="10" t="n">
        <v>37551</v>
      </c>
      <c r="G277" s="10" t="n">
        <v>1110901</v>
      </c>
      <c r="H277" s="11" t="inlineStr">
        <is>
          <t>Diode 1N4007WS</t>
        </is>
      </c>
      <c r="I277" s="11" t="inlineStr">
        <is>
          <t>عدد</t>
        </is>
      </c>
      <c r="J277" s="10" t="n">
        <v>18</v>
      </c>
      <c r="K277" s="10" t="n">
        <v>1</v>
      </c>
      <c r="L277" s="11" t="inlineStr">
        <is>
          <t>-</t>
        </is>
      </c>
      <c r="M277" s="13" t="n"/>
      <c r="N277" s="13" t="n"/>
      <c r="O277" s="10" t="n">
        <v>100</v>
      </c>
      <c r="P277" s="11" t="inlineStr">
        <is>
          <t>مصرف مستقیم</t>
        </is>
      </c>
      <c r="Q277" s="10">
        <f>SUMIFS('ورودی برنامه'!$D$4:$D$16,'ورودی برنامه'!$A$4:$A$16,A277,'ورودی برنامه'!$C$4:$C$16,C277)</f>
        <v>1460</v>
      </c>
      <c r="R277" s="10">
        <f>SUMIFS('ورودی برنامه'!$E$4:$E$16,'ورودی برنامه'!$A$4:$A$16,A277,'ورودی برنامه'!$C$4:$C$16,C277)</f>
        <v>1200</v>
      </c>
      <c r="S277" s="10">
        <f>ROUND(Q277*J277/K277*O277/100,10)</f>
        <v>26280</v>
      </c>
      <c r="T277" s="10">
        <f>ROUND(R277*J277/K277*O277/100,10)</f>
        <v>21600</v>
      </c>
      <c r="U277" s="10" t="n">
        <v>26280</v>
      </c>
      <c r="V277" s="10" t="n">
        <v>21600</v>
      </c>
    </row>
    <row r="278" ht="20" customHeight="1">
      <c r="A278" s="5" t="n">
        <v>1201643</v>
      </c>
      <c r="B278" s="6" t="inlineStr">
        <is>
          <t>جعبه الکترونیکی کنترل ماشینی شده NBCM_DENA_SBR-TOP</t>
        </is>
      </c>
      <c r="C278" s="6" t="inlineStr">
        <is>
          <t>13416020183</t>
        </is>
      </c>
      <c r="D278" s="6" t="inlineStr">
        <is>
          <t>1405/03/05</t>
        </is>
      </c>
      <c r="E278" s="9" t="n"/>
      <c r="F278" s="5" t="n">
        <v>37821</v>
      </c>
      <c r="G278" s="5" t="n">
        <v>1110409</v>
      </c>
      <c r="H278" s="6" t="inlineStr">
        <is>
          <t>IC  OpAmp LM2904YDT</t>
        </is>
      </c>
      <c r="I278" s="6" t="inlineStr">
        <is>
          <t>عدد</t>
        </is>
      </c>
      <c r="J278" s="5" t="n">
        <v>2</v>
      </c>
      <c r="K278" s="5" t="n">
        <v>1</v>
      </c>
      <c r="L278" s="6" t="inlineStr">
        <is>
          <t>-</t>
        </is>
      </c>
      <c r="M278" s="9" t="n"/>
      <c r="N278" s="9" t="n"/>
      <c r="O278" s="5" t="n">
        <v>100</v>
      </c>
      <c r="P278" s="6" t="inlineStr">
        <is>
          <t>مصرف مستقیم</t>
        </is>
      </c>
      <c r="Q278" s="5">
        <f>SUMIFS('ورودی برنامه'!$D$4:$D$16,'ورودی برنامه'!$A$4:$A$16,A278,'ورودی برنامه'!$C$4:$C$16,C278)</f>
        <v>1460</v>
      </c>
      <c r="R278" s="5">
        <f>SUMIFS('ورودی برنامه'!$E$4:$E$16,'ورودی برنامه'!$A$4:$A$16,A278,'ورودی برنامه'!$C$4:$C$16,C278)</f>
        <v>1200</v>
      </c>
      <c r="S278" s="5">
        <f>ROUND(Q278*J278/K278*O278/100,10)</f>
        <v>2920</v>
      </c>
      <c r="T278" s="5">
        <f>ROUND(R278*J278/K278*O278/100,10)</f>
        <v>2400</v>
      </c>
      <c r="U278" s="5" t="n">
        <v>2920</v>
      </c>
      <c r="V278" s="5" t="n">
        <v>2400</v>
      </c>
    </row>
    <row r="279" ht="20" customHeight="1">
      <c r="A279" s="10" t="n">
        <v>1201643</v>
      </c>
      <c r="B279" s="11" t="inlineStr">
        <is>
          <t>جعبه الکترونیکی کنترل ماشینی شده NBCM_DENA_SBR-TOP</t>
        </is>
      </c>
      <c r="C279" s="11" t="inlineStr">
        <is>
          <t>13416020183</t>
        </is>
      </c>
      <c r="D279" s="11" t="inlineStr">
        <is>
          <t>1405/03/05</t>
        </is>
      </c>
      <c r="E279" s="13" t="n"/>
      <c r="F279" s="10" t="n">
        <v>37822</v>
      </c>
      <c r="G279" s="10" t="n">
        <v>1111016</v>
      </c>
      <c r="H279" s="11" t="inlineStr">
        <is>
          <t>IC TLE7259-3GE</t>
        </is>
      </c>
      <c r="I279" s="11" t="inlineStr">
        <is>
          <t>عدد</t>
        </is>
      </c>
      <c r="J279" s="10" t="n">
        <v>2</v>
      </c>
      <c r="K279" s="10" t="n">
        <v>1</v>
      </c>
      <c r="L279" s="11" t="inlineStr">
        <is>
          <t>-</t>
        </is>
      </c>
      <c r="M279" s="13" t="n"/>
      <c r="N279" s="13" t="n"/>
      <c r="O279" s="10" t="n">
        <v>100</v>
      </c>
      <c r="P279" s="11" t="inlineStr">
        <is>
          <t>مصرف مستقیم</t>
        </is>
      </c>
      <c r="Q279" s="10">
        <f>SUMIFS('ورودی برنامه'!$D$4:$D$16,'ورودی برنامه'!$A$4:$A$16,A279,'ورودی برنامه'!$C$4:$C$16,C279)</f>
        <v>1460</v>
      </c>
      <c r="R279" s="10">
        <f>SUMIFS('ورودی برنامه'!$E$4:$E$16,'ورودی برنامه'!$A$4:$A$16,A279,'ورودی برنامه'!$C$4:$C$16,C279)</f>
        <v>1200</v>
      </c>
      <c r="S279" s="10">
        <f>ROUND(Q279*J279/K279*O279/100,10)</f>
        <v>2920</v>
      </c>
      <c r="T279" s="10">
        <f>ROUND(R279*J279/K279*O279/100,10)</f>
        <v>2400</v>
      </c>
      <c r="U279" s="10" t="n">
        <v>2920</v>
      </c>
      <c r="V279" s="10" t="n">
        <v>2400</v>
      </c>
    </row>
    <row r="280" ht="20" customHeight="1">
      <c r="A280" s="5" t="n">
        <v>1201653</v>
      </c>
      <c r="B280" s="6" t="inlineStr">
        <is>
          <t>جعبه الکترونیکی مونتاژ ماشینی شده BCMi/SBMi_P207_SOREN_ARISUN Top</t>
        </is>
      </c>
      <c r="C280" s="6" t="inlineStr">
        <is>
          <t>13416020224</t>
        </is>
      </c>
      <c r="D280" s="6" t="inlineStr">
        <is>
          <t>1405/06/10</t>
        </is>
      </c>
      <c r="E280" s="9" t="n"/>
      <c r="F280" s="5" t="n">
        <v>719</v>
      </c>
      <c r="G280" s="5" t="n">
        <v>1101036</v>
      </c>
      <c r="H280" s="6" t="inlineStr">
        <is>
          <t>Resistor 100,5%,1/10W</t>
        </is>
      </c>
      <c r="I280" s="6" t="inlineStr">
        <is>
          <t>عدد</t>
        </is>
      </c>
      <c r="J280" s="5" t="n">
        <v>7</v>
      </c>
      <c r="K280" s="5" t="n">
        <v>1</v>
      </c>
      <c r="L280" s="6" t="inlineStr">
        <is>
          <t>16</t>
        </is>
      </c>
      <c r="M280" s="5" t="n">
        <v>1</v>
      </c>
      <c r="N280" s="5" t="n">
        <v>50</v>
      </c>
      <c r="O280" s="5">
        <f>N280</f>
        <v>50</v>
      </c>
      <c r="P280" s="6" t="inlineStr">
        <is>
          <t>سهم درصد استفاده BOM</t>
        </is>
      </c>
      <c r="Q280" s="5">
        <f>SUMIFS('ورودی برنامه'!$D$4:$D$16,'ورودی برنامه'!$A$4:$A$16,A280,'ورودی برنامه'!$C$4:$C$16,C280)</f>
        <v>1400</v>
      </c>
      <c r="R280" s="5">
        <f>SUMIFS('ورودی برنامه'!$E$4:$E$16,'ورودی برنامه'!$A$4:$A$16,A280,'ورودی برنامه'!$C$4:$C$16,C280)</f>
        <v>1200</v>
      </c>
      <c r="S280" s="5">
        <f>ROUND(Q280*J280/K280*O280/100,10)</f>
        <v>4900</v>
      </c>
      <c r="T280" s="5">
        <f>ROUND(R280*J280/K280*O280/100,10)</f>
        <v>4200</v>
      </c>
      <c r="U280" s="5" t="n">
        <v>9800</v>
      </c>
      <c r="V280" s="5" t="n">
        <v>8400</v>
      </c>
    </row>
    <row r="281" ht="20" customHeight="1">
      <c r="A281" s="10" t="n">
        <v>1201653</v>
      </c>
      <c r="B281" s="11" t="inlineStr">
        <is>
          <t>جعبه الکترونیکی مونتاژ ماشینی شده BCMi/SBMi_P207_SOREN_ARISUN Top</t>
        </is>
      </c>
      <c r="C281" s="11" t="inlineStr">
        <is>
          <t>13416020224</t>
        </is>
      </c>
      <c r="D281" s="11" t="inlineStr">
        <is>
          <t>1405/06/10</t>
        </is>
      </c>
      <c r="E281" s="13" t="n"/>
      <c r="F281" s="10" t="n">
        <v>1040</v>
      </c>
      <c r="G281" s="10" t="n">
        <v>1110519</v>
      </c>
      <c r="H281" s="11" t="inlineStr">
        <is>
          <t>IC,MCU,32-BIT,Microcontroller, R7F015834AFP</t>
        </is>
      </c>
      <c r="I281" s="11" t="inlineStr">
        <is>
          <t>عدد</t>
        </is>
      </c>
      <c r="J281" s="10" t="n">
        <v>1</v>
      </c>
      <c r="K281" s="10" t="n">
        <v>1</v>
      </c>
      <c r="L281" s="11" t="inlineStr">
        <is>
          <t>12</t>
        </is>
      </c>
      <c r="M281" s="10" t="n">
        <v>1</v>
      </c>
      <c r="N281" s="10" t="n">
        <v>50</v>
      </c>
      <c r="O281" s="10">
        <f>N281</f>
        <v>50</v>
      </c>
      <c r="P281" s="11" t="inlineStr">
        <is>
          <t>سهم درصد استفاده BOM</t>
        </is>
      </c>
      <c r="Q281" s="10">
        <f>SUMIFS('ورودی برنامه'!$D$4:$D$16,'ورودی برنامه'!$A$4:$A$16,A281,'ورودی برنامه'!$C$4:$C$16,C281)</f>
        <v>1400</v>
      </c>
      <c r="R281" s="10">
        <f>SUMIFS('ورودی برنامه'!$E$4:$E$16,'ورودی برنامه'!$A$4:$A$16,A281,'ورودی برنامه'!$C$4:$C$16,C281)</f>
        <v>1200</v>
      </c>
      <c r="S281" s="10">
        <f>ROUND(Q281*J281/K281*O281/100,10)</f>
        <v>700</v>
      </c>
      <c r="T281" s="10">
        <f>ROUND(R281*J281/K281*O281/100,10)</f>
        <v>600</v>
      </c>
      <c r="U281" s="10" t="n">
        <v>1400</v>
      </c>
      <c r="V281" s="10" t="n">
        <v>1200</v>
      </c>
    </row>
    <row r="282" ht="20" customHeight="1">
      <c r="A282" s="5" t="n">
        <v>1201653</v>
      </c>
      <c r="B282" s="6" t="inlineStr">
        <is>
          <t>جعبه الکترونیکی مونتاژ ماشینی شده BCMi/SBMi_P207_SOREN_ARISUN Top</t>
        </is>
      </c>
      <c r="C282" s="6" t="inlineStr">
        <is>
          <t>13416020224</t>
        </is>
      </c>
      <c r="D282" s="6" t="inlineStr">
        <is>
          <t>1405/06/10</t>
        </is>
      </c>
      <c r="E282" s="9" t="n"/>
      <c r="F282" s="5" t="n">
        <v>1882</v>
      </c>
      <c r="G282" s="5" t="n">
        <v>1111044</v>
      </c>
      <c r="H282" s="6" t="inlineStr">
        <is>
          <t>IC, MCU,32-Bit Microcontroller,RH850/F1K</t>
        </is>
      </c>
      <c r="I282" s="6" t="inlineStr">
        <is>
          <t>عدد</t>
        </is>
      </c>
      <c r="J282" s="5" t="n">
        <v>1</v>
      </c>
      <c r="K282" s="5" t="n">
        <v>1</v>
      </c>
      <c r="L282" s="6" t="inlineStr">
        <is>
          <t>12</t>
        </is>
      </c>
      <c r="M282" s="5" t="n">
        <v>2</v>
      </c>
      <c r="N282" s="5" t="n">
        <v>50</v>
      </c>
      <c r="O282" s="5">
        <f>N282</f>
        <v>50</v>
      </c>
      <c r="P282" s="6" t="inlineStr">
        <is>
          <t>سهم درصد استفاده BOM</t>
        </is>
      </c>
      <c r="Q282" s="5">
        <f>SUMIFS('ورودی برنامه'!$D$4:$D$16,'ورودی برنامه'!$A$4:$A$16,A282,'ورودی برنامه'!$C$4:$C$16,C282)</f>
        <v>1400</v>
      </c>
      <c r="R282" s="5">
        <f>SUMIFS('ورودی برنامه'!$E$4:$E$16,'ورودی برنامه'!$A$4:$A$16,A282,'ورودی برنامه'!$C$4:$C$16,C282)</f>
        <v>1200</v>
      </c>
      <c r="S282" s="5">
        <f>ROUND(Q282*J282/K282*O282/100,10)</f>
        <v>700</v>
      </c>
      <c r="T282" s="5">
        <f>ROUND(R282*J282/K282*O282/100,10)</f>
        <v>600</v>
      </c>
      <c r="U282" s="5" t="n">
        <v>0</v>
      </c>
      <c r="V282" s="5" t="n">
        <v>0</v>
      </c>
    </row>
    <row r="283" ht="20" customHeight="1">
      <c r="A283" s="10" t="n">
        <v>1201653</v>
      </c>
      <c r="B283" s="11" t="inlineStr">
        <is>
          <t>جعبه الکترونیکی مونتاژ ماشینی شده BCMi/SBMi_P207_SOREN_ARISUN Top</t>
        </is>
      </c>
      <c r="C283" s="11" t="inlineStr">
        <is>
          <t>13416020224</t>
        </is>
      </c>
      <c r="D283" s="11" t="inlineStr">
        <is>
          <t>1405/06/10</t>
        </is>
      </c>
      <c r="E283" s="13" t="n"/>
      <c r="F283" s="10" t="n">
        <v>2620</v>
      </c>
      <c r="G283" s="10" t="n">
        <v>1110569</v>
      </c>
      <c r="H283" s="11" t="inlineStr">
        <is>
          <t>Capacitor 10N, X7R ,50V,10%</t>
        </is>
      </c>
      <c r="I283" s="11" t="inlineStr">
        <is>
          <t>عدد(شمارشی)</t>
        </is>
      </c>
      <c r="J283" s="10" t="n">
        <v>11</v>
      </c>
      <c r="K283" s="10" t="n">
        <v>1</v>
      </c>
      <c r="L283" s="11" t="inlineStr">
        <is>
          <t>-</t>
        </is>
      </c>
      <c r="M283" s="13" t="n"/>
      <c r="N283" s="13" t="n"/>
      <c r="O283" s="10" t="n">
        <v>100</v>
      </c>
      <c r="P283" s="11" t="inlineStr">
        <is>
          <t>مصرف مستقیم</t>
        </is>
      </c>
      <c r="Q283" s="10">
        <f>SUMIFS('ورودی برنامه'!$D$4:$D$16,'ورودی برنامه'!$A$4:$A$16,A283,'ورودی برنامه'!$C$4:$C$16,C283)</f>
        <v>1400</v>
      </c>
      <c r="R283" s="10">
        <f>SUMIFS('ورودی برنامه'!$E$4:$E$16,'ورودی برنامه'!$A$4:$A$16,A283,'ورودی برنامه'!$C$4:$C$16,C283)</f>
        <v>1200</v>
      </c>
      <c r="S283" s="10">
        <f>ROUND(Q283*J283/K283*O283/100,10)</f>
        <v>15400</v>
      </c>
      <c r="T283" s="10">
        <f>ROUND(R283*J283/K283*O283/100,10)</f>
        <v>13200</v>
      </c>
      <c r="U283" s="10" t="n">
        <v>15400</v>
      </c>
      <c r="V283" s="10" t="n">
        <v>13200</v>
      </c>
    </row>
    <row r="284" ht="20" customHeight="1">
      <c r="A284" s="5" t="n">
        <v>1201653</v>
      </c>
      <c r="B284" s="6" t="inlineStr">
        <is>
          <t>جعبه الکترونیکی مونتاژ ماشینی شده BCMi/SBMi_P207_SOREN_ARISUN Top</t>
        </is>
      </c>
      <c r="C284" s="6" t="inlineStr">
        <is>
          <t>13416020224</t>
        </is>
      </c>
      <c r="D284" s="6" t="inlineStr">
        <is>
          <t>1405/06/10</t>
        </is>
      </c>
      <c r="E284" s="9" t="n"/>
      <c r="F284" s="5" t="n">
        <v>2734</v>
      </c>
      <c r="G284" s="5" t="n">
        <v>1110576</v>
      </c>
      <c r="H284" s="6" t="inlineStr">
        <is>
          <t>Resistor 22K,5%,1/16W</t>
        </is>
      </c>
      <c r="I284" s="6" t="inlineStr">
        <is>
          <t>عدد(شمارشی)</t>
        </is>
      </c>
      <c r="J284" s="5" t="n">
        <v>24</v>
      </c>
      <c r="K284" s="5" t="n">
        <v>1</v>
      </c>
      <c r="L284" s="6" t="inlineStr">
        <is>
          <t>13</t>
        </is>
      </c>
      <c r="M284" s="5" t="n">
        <v>1</v>
      </c>
      <c r="N284" s="5" t="n">
        <v>50</v>
      </c>
      <c r="O284" s="5">
        <f>N284</f>
        <v>50</v>
      </c>
      <c r="P284" s="6" t="inlineStr">
        <is>
          <t>سهم درصد استفاده BOM</t>
        </is>
      </c>
      <c r="Q284" s="5">
        <f>SUMIFS('ورودی برنامه'!$D$4:$D$16,'ورودی برنامه'!$A$4:$A$16,A284,'ورودی برنامه'!$C$4:$C$16,C284)</f>
        <v>1400</v>
      </c>
      <c r="R284" s="5">
        <f>SUMIFS('ورودی برنامه'!$E$4:$E$16,'ورودی برنامه'!$A$4:$A$16,A284,'ورودی برنامه'!$C$4:$C$16,C284)</f>
        <v>1200</v>
      </c>
      <c r="S284" s="5">
        <f>ROUND(Q284*J284/K284*O284/100,10)</f>
        <v>16800</v>
      </c>
      <c r="T284" s="5">
        <f>ROUND(R284*J284/K284*O284/100,10)</f>
        <v>14400</v>
      </c>
      <c r="U284" s="5" t="n">
        <v>33600</v>
      </c>
      <c r="V284" s="5" t="n">
        <v>28800</v>
      </c>
    </row>
    <row r="285" ht="20" customHeight="1">
      <c r="A285" s="10" t="n">
        <v>1201653</v>
      </c>
      <c r="B285" s="11" t="inlineStr">
        <is>
          <t>جعبه الکترونیکی مونتاژ ماشینی شده BCMi/SBMi_P207_SOREN_ARISUN Top</t>
        </is>
      </c>
      <c r="C285" s="11" t="inlineStr">
        <is>
          <t>13416020224</t>
        </is>
      </c>
      <c r="D285" s="11" t="inlineStr">
        <is>
          <t>1405/06/10</t>
        </is>
      </c>
      <c r="E285" s="13" t="n"/>
      <c r="F285" s="10" t="n">
        <v>2744</v>
      </c>
      <c r="G285" s="10" t="n">
        <v>1110577</v>
      </c>
      <c r="H285" s="11" t="inlineStr">
        <is>
          <t>Resistor 27K,1%,1/16W</t>
        </is>
      </c>
      <c r="I285" s="11" t="inlineStr">
        <is>
          <t>عدد(شمارشی)</t>
        </is>
      </c>
      <c r="J285" s="10" t="n">
        <v>1</v>
      </c>
      <c r="K285" s="10" t="n">
        <v>1</v>
      </c>
      <c r="L285" s="11" t="inlineStr">
        <is>
          <t>-</t>
        </is>
      </c>
      <c r="M285" s="13" t="n"/>
      <c r="N285" s="13" t="n"/>
      <c r="O285" s="10" t="n">
        <v>100</v>
      </c>
      <c r="P285" s="11" t="inlineStr">
        <is>
          <t>مصرف مستقیم</t>
        </is>
      </c>
      <c r="Q285" s="10">
        <f>SUMIFS('ورودی برنامه'!$D$4:$D$16,'ورودی برنامه'!$A$4:$A$16,A285,'ورودی برنامه'!$C$4:$C$16,C285)</f>
        <v>1400</v>
      </c>
      <c r="R285" s="10">
        <f>SUMIFS('ورودی برنامه'!$E$4:$E$16,'ورودی برنامه'!$A$4:$A$16,A285,'ورودی برنامه'!$C$4:$C$16,C285)</f>
        <v>1200</v>
      </c>
      <c r="S285" s="10">
        <f>ROUND(Q285*J285/K285*O285/100,10)</f>
        <v>1400</v>
      </c>
      <c r="T285" s="10">
        <f>ROUND(R285*J285/K285*O285/100,10)</f>
        <v>1200</v>
      </c>
      <c r="U285" s="10" t="n">
        <v>1400</v>
      </c>
      <c r="V285" s="10" t="n">
        <v>1200</v>
      </c>
    </row>
    <row r="286" ht="20" customHeight="1">
      <c r="A286" s="5" t="n">
        <v>1201653</v>
      </c>
      <c r="B286" s="6" t="inlineStr">
        <is>
          <t>جعبه الکترونیکی مونتاژ ماشینی شده BCMi/SBMi_P207_SOREN_ARISUN Top</t>
        </is>
      </c>
      <c r="C286" s="6" t="inlineStr">
        <is>
          <t>13416020224</t>
        </is>
      </c>
      <c r="D286" s="6" t="inlineStr">
        <is>
          <t>1405/06/10</t>
        </is>
      </c>
      <c r="E286" s="9" t="n"/>
      <c r="F286" s="5" t="n">
        <v>2790</v>
      </c>
      <c r="G286" s="5" t="n">
        <v>1110581</v>
      </c>
      <c r="H286" s="6" t="inlineStr">
        <is>
          <t>Resistor 4.7K,5%,1/16W</t>
        </is>
      </c>
      <c r="I286" s="6" t="inlineStr">
        <is>
          <t>عدد(شمارشی)</t>
        </is>
      </c>
      <c r="J286" s="5" t="n">
        <v>14</v>
      </c>
      <c r="K286" s="5" t="n">
        <v>1</v>
      </c>
      <c r="L286" s="6" t="inlineStr">
        <is>
          <t>-</t>
        </is>
      </c>
      <c r="M286" s="9" t="n"/>
      <c r="N286" s="9" t="n"/>
      <c r="O286" s="5" t="n">
        <v>100</v>
      </c>
      <c r="P286" s="6" t="inlineStr">
        <is>
          <t>مصرف مستقیم</t>
        </is>
      </c>
      <c r="Q286" s="5">
        <f>SUMIFS('ورودی برنامه'!$D$4:$D$16,'ورودی برنامه'!$A$4:$A$16,A286,'ورودی برنامه'!$C$4:$C$16,C286)</f>
        <v>1400</v>
      </c>
      <c r="R286" s="5">
        <f>SUMIFS('ورودی برنامه'!$E$4:$E$16,'ورودی برنامه'!$A$4:$A$16,A286,'ورودی برنامه'!$C$4:$C$16,C286)</f>
        <v>1200</v>
      </c>
      <c r="S286" s="5">
        <f>ROUND(Q286*J286/K286*O286/100,10)</f>
        <v>19600</v>
      </c>
      <c r="T286" s="5">
        <f>ROUND(R286*J286/K286*O286/100,10)</f>
        <v>16800</v>
      </c>
      <c r="U286" s="5" t="n">
        <v>19600</v>
      </c>
      <c r="V286" s="5" t="n">
        <v>16800</v>
      </c>
    </row>
    <row r="287" ht="20" customHeight="1">
      <c r="A287" s="10" t="n">
        <v>1201653</v>
      </c>
      <c r="B287" s="11" t="inlineStr">
        <is>
          <t>جعبه الکترونیکی مونتاژ ماشینی شده BCMi/SBMi_P207_SOREN_ARISUN Top</t>
        </is>
      </c>
      <c r="C287" s="11" t="inlineStr">
        <is>
          <t>13416020224</t>
        </is>
      </c>
      <c r="D287" s="11" t="inlineStr">
        <is>
          <t>1405/06/10</t>
        </is>
      </c>
      <c r="E287" s="13" t="n"/>
      <c r="F287" s="10" t="n">
        <v>2819</v>
      </c>
      <c r="G287" s="10" t="n">
        <v>1110582</v>
      </c>
      <c r="H287" s="11" t="inlineStr">
        <is>
          <t>Resistor 470,5%,1/16W</t>
        </is>
      </c>
      <c r="I287" s="11" t="inlineStr">
        <is>
          <t>عدد(شمارشی)</t>
        </is>
      </c>
      <c r="J287" s="10" t="n">
        <v>1</v>
      </c>
      <c r="K287" s="10" t="n">
        <v>1</v>
      </c>
      <c r="L287" s="11" t="inlineStr">
        <is>
          <t>-</t>
        </is>
      </c>
      <c r="M287" s="13" t="n"/>
      <c r="N287" s="13" t="n"/>
      <c r="O287" s="10" t="n">
        <v>100</v>
      </c>
      <c r="P287" s="11" t="inlineStr">
        <is>
          <t>مصرف مستقیم</t>
        </is>
      </c>
      <c r="Q287" s="10">
        <f>SUMIFS('ورودی برنامه'!$D$4:$D$16,'ورودی برنامه'!$A$4:$A$16,A287,'ورودی برنامه'!$C$4:$C$16,C287)</f>
        <v>1400</v>
      </c>
      <c r="R287" s="10">
        <f>SUMIFS('ورودی برنامه'!$E$4:$E$16,'ورودی برنامه'!$A$4:$A$16,A287,'ورودی برنامه'!$C$4:$C$16,C287)</f>
        <v>1200</v>
      </c>
      <c r="S287" s="10">
        <f>ROUND(Q287*J287/K287*O287/100,10)</f>
        <v>1400</v>
      </c>
      <c r="T287" s="10">
        <f>ROUND(R287*J287/K287*O287/100,10)</f>
        <v>1200</v>
      </c>
      <c r="U287" s="10" t="n">
        <v>1400</v>
      </c>
      <c r="V287" s="10" t="n">
        <v>1200</v>
      </c>
    </row>
    <row r="288" ht="20" customHeight="1">
      <c r="A288" s="5" t="n">
        <v>1201653</v>
      </c>
      <c r="B288" s="6" t="inlineStr">
        <is>
          <t>جعبه الکترونیکی مونتاژ ماشینی شده BCMi/SBMi_P207_SOREN_ARISUN Top</t>
        </is>
      </c>
      <c r="C288" s="6" t="inlineStr">
        <is>
          <t>13416020224</t>
        </is>
      </c>
      <c r="D288" s="6" t="inlineStr">
        <is>
          <t>1405/06/10</t>
        </is>
      </c>
      <c r="E288" s="9" t="n"/>
      <c r="F288" s="5" t="n">
        <v>2866</v>
      </c>
      <c r="G288" s="5" t="n">
        <v>1110584</v>
      </c>
      <c r="H288" s="6" t="inlineStr">
        <is>
          <t>Resistor 47K,5%,1/16W</t>
        </is>
      </c>
      <c r="I288" s="6" t="inlineStr">
        <is>
          <t>عدد(شمارشی)</t>
        </is>
      </c>
      <c r="J288" s="5" t="n">
        <v>7</v>
      </c>
      <c r="K288" s="5" t="n">
        <v>1</v>
      </c>
      <c r="L288" s="6" t="inlineStr">
        <is>
          <t>-</t>
        </is>
      </c>
      <c r="M288" s="9" t="n"/>
      <c r="N288" s="9" t="n"/>
      <c r="O288" s="5" t="n">
        <v>100</v>
      </c>
      <c r="P288" s="6" t="inlineStr">
        <is>
          <t>مصرف مستقیم</t>
        </is>
      </c>
      <c r="Q288" s="5">
        <f>SUMIFS('ورودی برنامه'!$D$4:$D$16,'ورودی برنامه'!$A$4:$A$16,A288,'ورودی برنامه'!$C$4:$C$16,C288)</f>
        <v>1400</v>
      </c>
      <c r="R288" s="5">
        <f>SUMIFS('ورودی برنامه'!$E$4:$E$16,'ورودی برنامه'!$A$4:$A$16,A288,'ورودی برنامه'!$C$4:$C$16,C288)</f>
        <v>1200</v>
      </c>
      <c r="S288" s="5">
        <f>ROUND(Q288*J288/K288*O288/100,10)</f>
        <v>9800</v>
      </c>
      <c r="T288" s="5">
        <f>ROUND(R288*J288/K288*O288/100,10)</f>
        <v>8400</v>
      </c>
      <c r="U288" s="5" t="n">
        <v>9800</v>
      </c>
      <c r="V288" s="5" t="n">
        <v>8400</v>
      </c>
    </row>
    <row r="289" ht="20" customHeight="1">
      <c r="A289" s="10" t="n">
        <v>1201653</v>
      </c>
      <c r="B289" s="11" t="inlineStr">
        <is>
          <t>جعبه الکترونیکی مونتاژ ماشینی شده BCMi/SBMi_P207_SOREN_ARISUN Top</t>
        </is>
      </c>
      <c r="C289" s="11" t="inlineStr">
        <is>
          <t>13416020224</t>
        </is>
      </c>
      <c r="D289" s="11" t="inlineStr">
        <is>
          <t>1405/06/10</t>
        </is>
      </c>
      <c r="E289" s="13" t="n"/>
      <c r="F289" s="10" t="n">
        <v>2886</v>
      </c>
      <c r="G289" s="10" t="n">
        <v>1110585</v>
      </c>
      <c r="H289" s="11" t="inlineStr">
        <is>
          <t>Resistor 100K,1%,1/16W</t>
        </is>
      </c>
      <c r="I289" s="11" t="inlineStr">
        <is>
          <t>عدد(شمارشی)</t>
        </is>
      </c>
      <c r="J289" s="10" t="n">
        <v>1</v>
      </c>
      <c r="K289" s="10" t="n">
        <v>1</v>
      </c>
      <c r="L289" s="11" t="inlineStr">
        <is>
          <t>-</t>
        </is>
      </c>
      <c r="M289" s="13" t="n"/>
      <c r="N289" s="13" t="n"/>
      <c r="O289" s="10" t="n">
        <v>100</v>
      </c>
      <c r="P289" s="11" t="inlineStr">
        <is>
          <t>مصرف مستقیم</t>
        </is>
      </c>
      <c r="Q289" s="10">
        <f>SUMIFS('ورودی برنامه'!$D$4:$D$16,'ورودی برنامه'!$A$4:$A$16,A289,'ورودی برنامه'!$C$4:$C$16,C289)</f>
        <v>1400</v>
      </c>
      <c r="R289" s="10">
        <f>SUMIFS('ورودی برنامه'!$E$4:$E$16,'ورودی برنامه'!$A$4:$A$16,A289,'ورودی برنامه'!$C$4:$C$16,C289)</f>
        <v>1200</v>
      </c>
      <c r="S289" s="10">
        <f>ROUND(Q289*J289/K289*O289/100,10)</f>
        <v>1400</v>
      </c>
      <c r="T289" s="10">
        <f>ROUND(R289*J289/K289*O289/100,10)</f>
        <v>1200</v>
      </c>
      <c r="U289" s="10" t="n">
        <v>1400</v>
      </c>
      <c r="V289" s="10" t="n">
        <v>1200</v>
      </c>
    </row>
    <row r="290" ht="20" customHeight="1">
      <c r="A290" s="5" t="n">
        <v>1201653</v>
      </c>
      <c r="B290" s="6" t="inlineStr">
        <is>
          <t>جعبه الکترونیکی مونتاژ ماشینی شده BCMi/SBMi_P207_SOREN_ARISUN Top</t>
        </is>
      </c>
      <c r="C290" s="6" t="inlineStr">
        <is>
          <t>13416020224</t>
        </is>
      </c>
      <c r="D290" s="6" t="inlineStr">
        <is>
          <t>1405/06/10</t>
        </is>
      </c>
      <c r="E290" s="9" t="n"/>
      <c r="F290" s="5" t="n">
        <v>3833</v>
      </c>
      <c r="G290" s="5" t="n">
        <v>1111063</v>
      </c>
      <c r="H290" s="6" t="inlineStr">
        <is>
          <t>IC ULQ2003ATPWRQ1</t>
        </is>
      </c>
      <c r="I290" s="6" t="inlineStr">
        <is>
          <t>عدد(شمارشی)</t>
        </is>
      </c>
      <c r="J290" s="5" t="n">
        <v>1</v>
      </c>
      <c r="K290" s="5" t="n">
        <v>1</v>
      </c>
      <c r="L290" s="6" t="inlineStr">
        <is>
          <t>-</t>
        </is>
      </c>
      <c r="M290" s="9" t="n"/>
      <c r="N290" s="9" t="n"/>
      <c r="O290" s="5" t="n">
        <v>100</v>
      </c>
      <c r="P290" s="6" t="inlineStr">
        <is>
          <t>مصرف مستقیم</t>
        </is>
      </c>
      <c r="Q290" s="5">
        <f>SUMIFS('ورودی برنامه'!$D$4:$D$16,'ورودی برنامه'!$A$4:$A$16,A290,'ورودی برنامه'!$C$4:$C$16,C290)</f>
        <v>1400</v>
      </c>
      <c r="R290" s="5">
        <f>SUMIFS('ورودی برنامه'!$E$4:$E$16,'ورودی برنامه'!$A$4:$A$16,A290,'ورودی برنامه'!$C$4:$C$16,C290)</f>
        <v>1200</v>
      </c>
      <c r="S290" s="5">
        <f>ROUND(Q290*J290/K290*O290/100,10)</f>
        <v>1400</v>
      </c>
      <c r="T290" s="5">
        <f>ROUND(R290*J290/K290*O290/100,10)</f>
        <v>1200</v>
      </c>
      <c r="U290" s="5" t="n">
        <v>1400</v>
      </c>
      <c r="V290" s="5" t="n">
        <v>1200</v>
      </c>
    </row>
    <row r="291" ht="20" customHeight="1">
      <c r="A291" s="10" t="n">
        <v>1201653</v>
      </c>
      <c r="B291" s="11" t="inlineStr">
        <is>
          <t>جعبه الکترونیکی مونتاژ ماشینی شده BCMi/SBMi_P207_SOREN_ARISUN Top</t>
        </is>
      </c>
      <c r="C291" s="11" t="inlineStr">
        <is>
          <t>13416020224</t>
        </is>
      </c>
      <c r="D291" s="11" t="inlineStr">
        <is>
          <t>1405/06/10</t>
        </is>
      </c>
      <c r="E291" s="13" t="n"/>
      <c r="F291" s="10" t="n">
        <v>4032</v>
      </c>
      <c r="G291" s="10" t="n">
        <v>1102015</v>
      </c>
      <c r="H291" s="11" t="inlineStr">
        <is>
          <t>Capacitor, X7R,4.7U,16V,10%</t>
        </is>
      </c>
      <c r="I291" s="11" t="inlineStr">
        <is>
          <t>عدد(شمارشی)</t>
        </is>
      </c>
      <c r="J291" s="10" t="n">
        <v>5</v>
      </c>
      <c r="K291" s="10" t="n">
        <v>1</v>
      </c>
      <c r="L291" s="11" t="inlineStr">
        <is>
          <t>-</t>
        </is>
      </c>
      <c r="M291" s="13" t="n"/>
      <c r="N291" s="13" t="n"/>
      <c r="O291" s="10" t="n">
        <v>100</v>
      </c>
      <c r="P291" s="11" t="inlineStr">
        <is>
          <t>مصرف مستقیم</t>
        </is>
      </c>
      <c r="Q291" s="10">
        <f>SUMIFS('ورودی برنامه'!$D$4:$D$16,'ورودی برنامه'!$A$4:$A$16,A291,'ورودی برنامه'!$C$4:$C$16,C291)</f>
        <v>1400</v>
      </c>
      <c r="R291" s="10">
        <f>SUMIFS('ورودی برنامه'!$E$4:$E$16,'ورودی برنامه'!$A$4:$A$16,A291,'ورودی برنامه'!$C$4:$C$16,C291)</f>
        <v>1200</v>
      </c>
      <c r="S291" s="10">
        <f>ROUND(Q291*J291/K291*O291/100,10)</f>
        <v>7000</v>
      </c>
      <c r="T291" s="10">
        <f>ROUND(R291*J291/K291*O291/100,10)</f>
        <v>6000</v>
      </c>
      <c r="U291" s="10" t="n">
        <v>7000</v>
      </c>
      <c r="V291" s="10" t="n">
        <v>6000</v>
      </c>
    </row>
    <row r="292" ht="20" customHeight="1">
      <c r="A292" s="5" t="n">
        <v>1201653</v>
      </c>
      <c r="B292" s="6" t="inlineStr">
        <is>
          <t>جعبه الکترونیکی مونتاژ ماشینی شده BCMi/SBMi_P207_SOREN_ARISUN Top</t>
        </is>
      </c>
      <c r="C292" s="6" t="inlineStr">
        <is>
          <t>13416020224</t>
        </is>
      </c>
      <c r="D292" s="6" t="inlineStr">
        <is>
          <t>1405/06/10</t>
        </is>
      </c>
      <c r="E292" s="9" t="n"/>
      <c r="F292" s="5" t="n">
        <v>5147</v>
      </c>
      <c r="G292" s="5" t="n">
        <v>1111095</v>
      </c>
      <c r="H292" s="6" t="inlineStr">
        <is>
          <t>IC SBC PMIC + Interface TLE9263BQXV33</t>
        </is>
      </c>
      <c r="I292" s="6" t="inlineStr">
        <is>
          <t>عدد(شمارشی)</t>
        </is>
      </c>
      <c r="J292" s="5" t="n">
        <v>1</v>
      </c>
      <c r="K292" s="5" t="n">
        <v>1</v>
      </c>
      <c r="L292" s="6" t="inlineStr">
        <is>
          <t>-</t>
        </is>
      </c>
      <c r="M292" s="9" t="n"/>
      <c r="N292" s="9" t="n"/>
      <c r="O292" s="5" t="n">
        <v>100</v>
      </c>
      <c r="P292" s="6" t="inlineStr">
        <is>
          <t>مصرف مستقیم</t>
        </is>
      </c>
      <c r="Q292" s="5">
        <f>SUMIFS('ورودی برنامه'!$D$4:$D$16,'ورودی برنامه'!$A$4:$A$16,A292,'ورودی برنامه'!$C$4:$C$16,C292)</f>
        <v>1400</v>
      </c>
      <c r="R292" s="5">
        <f>SUMIFS('ورودی برنامه'!$E$4:$E$16,'ورودی برنامه'!$A$4:$A$16,A292,'ورودی برنامه'!$C$4:$C$16,C292)</f>
        <v>1200</v>
      </c>
      <c r="S292" s="5">
        <f>ROUND(Q292*J292/K292*O292/100,10)</f>
        <v>1400</v>
      </c>
      <c r="T292" s="5">
        <f>ROUND(R292*J292/K292*O292/100,10)</f>
        <v>1200</v>
      </c>
      <c r="U292" s="5" t="n">
        <v>1400</v>
      </c>
      <c r="V292" s="5" t="n">
        <v>1200</v>
      </c>
    </row>
    <row r="293" ht="20" customHeight="1">
      <c r="A293" s="10" t="n">
        <v>1201653</v>
      </c>
      <c r="B293" s="11" t="inlineStr">
        <is>
          <t>جعبه الکترونیکی مونتاژ ماشینی شده BCMi/SBMi_P207_SOREN_ARISUN Top</t>
        </is>
      </c>
      <c r="C293" s="11" t="inlineStr">
        <is>
          <t>13416020224</t>
        </is>
      </c>
      <c r="D293" s="11" t="inlineStr">
        <is>
          <t>1405/06/10</t>
        </is>
      </c>
      <c r="E293" s="13" t="n"/>
      <c r="F293" s="10" t="n">
        <v>5176</v>
      </c>
      <c r="G293" s="10" t="n">
        <v>1111096</v>
      </c>
      <c r="H293" s="11" t="inlineStr">
        <is>
          <t>Crystal,20.000MHz,20PPM 3225</t>
        </is>
      </c>
      <c r="I293" s="11" t="inlineStr">
        <is>
          <t>عدد(شمارشی)</t>
        </is>
      </c>
      <c r="J293" s="10" t="n">
        <v>1</v>
      </c>
      <c r="K293" s="10" t="n">
        <v>1</v>
      </c>
      <c r="L293" s="11" t="inlineStr">
        <is>
          <t>-</t>
        </is>
      </c>
      <c r="M293" s="13" t="n"/>
      <c r="N293" s="13" t="n"/>
      <c r="O293" s="10" t="n">
        <v>100</v>
      </c>
      <c r="P293" s="11" t="inlineStr">
        <is>
          <t>مصرف مستقیم</t>
        </is>
      </c>
      <c r="Q293" s="10">
        <f>SUMIFS('ورودی برنامه'!$D$4:$D$16,'ورودی برنامه'!$A$4:$A$16,A293,'ورودی برنامه'!$C$4:$C$16,C293)</f>
        <v>1400</v>
      </c>
      <c r="R293" s="10">
        <f>SUMIFS('ورودی برنامه'!$E$4:$E$16,'ورودی برنامه'!$A$4:$A$16,A293,'ورودی برنامه'!$C$4:$C$16,C293)</f>
        <v>1200</v>
      </c>
      <c r="S293" s="10">
        <f>ROUND(Q293*J293/K293*O293/100,10)</f>
        <v>1400</v>
      </c>
      <c r="T293" s="10">
        <f>ROUND(R293*J293/K293*O293/100,10)</f>
        <v>1200</v>
      </c>
      <c r="U293" s="10" t="n">
        <v>1400</v>
      </c>
      <c r="V293" s="10" t="n">
        <v>1200</v>
      </c>
    </row>
    <row r="294" ht="20" customHeight="1">
      <c r="A294" s="5" t="n">
        <v>1201653</v>
      </c>
      <c r="B294" s="6" t="inlineStr">
        <is>
          <t>جعبه الکترونیکی مونتاژ ماشینی شده BCMi/SBMi_P207_SOREN_ARISUN Top</t>
        </is>
      </c>
      <c r="C294" s="6" t="inlineStr">
        <is>
          <t>13416020224</t>
        </is>
      </c>
      <c r="D294" s="6" t="inlineStr">
        <is>
          <t>1405/06/10</t>
        </is>
      </c>
      <c r="E294" s="9" t="n"/>
      <c r="F294" s="5" t="n">
        <v>5183</v>
      </c>
      <c r="G294" s="5" t="n">
        <v>1110653</v>
      </c>
      <c r="H294" s="6" t="inlineStr">
        <is>
          <t>TRANSISTOR BCP52-16</t>
        </is>
      </c>
      <c r="I294" s="6" t="inlineStr">
        <is>
          <t>عدد(شمارشی)</t>
        </is>
      </c>
      <c r="J294" s="5" t="n">
        <v>1</v>
      </c>
      <c r="K294" s="5" t="n">
        <v>1</v>
      </c>
      <c r="L294" s="6" t="inlineStr">
        <is>
          <t>-</t>
        </is>
      </c>
      <c r="M294" s="9" t="n"/>
      <c r="N294" s="9" t="n"/>
      <c r="O294" s="5" t="n">
        <v>100</v>
      </c>
      <c r="P294" s="6" t="inlineStr">
        <is>
          <t>مصرف مستقیم</t>
        </is>
      </c>
      <c r="Q294" s="5">
        <f>SUMIFS('ورودی برنامه'!$D$4:$D$16,'ورودی برنامه'!$A$4:$A$16,A294,'ورودی برنامه'!$C$4:$C$16,C294)</f>
        <v>1400</v>
      </c>
      <c r="R294" s="5">
        <f>SUMIFS('ورودی برنامه'!$E$4:$E$16,'ورودی برنامه'!$A$4:$A$16,A294,'ورودی برنامه'!$C$4:$C$16,C294)</f>
        <v>1200</v>
      </c>
      <c r="S294" s="5">
        <f>ROUND(Q294*J294/K294*O294/100,10)</f>
        <v>1400</v>
      </c>
      <c r="T294" s="5">
        <f>ROUND(R294*J294/K294*O294/100,10)</f>
        <v>1200</v>
      </c>
      <c r="U294" s="5" t="n">
        <v>1400</v>
      </c>
      <c r="V294" s="5" t="n">
        <v>1200</v>
      </c>
    </row>
    <row r="295" ht="20" customHeight="1">
      <c r="A295" s="10" t="n">
        <v>1201653</v>
      </c>
      <c r="B295" s="11" t="inlineStr">
        <is>
          <t>جعبه الکترونیکی مونتاژ ماشینی شده BCMi/SBMi_P207_SOREN_ARISUN Top</t>
        </is>
      </c>
      <c r="C295" s="11" t="inlineStr">
        <is>
          <t>13416020224</t>
        </is>
      </c>
      <c r="D295" s="11" t="inlineStr">
        <is>
          <t>1405/06/10</t>
        </is>
      </c>
      <c r="E295" s="13" t="n"/>
      <c r="F295" s="10" t="n">
        <v>5311</v>
      </c>
      <c r="G295" s="10" t="n">
        <v>1101075</v>
      </c>
      <c r="H295" s="11" t="inlineStr">
        <is>
          <t>Resistor,2.7K,1%,1/16W</t>
        </is>
      </c>
      <c r="I295" s="11" t="inlineStr">
        <is>
          <t>عدد(شمارشی)</t>
        </is>
      </c>
      <c r="J295" s="10" t="n">
        <v>1</v>
      </c>
      <c r="K295" s="10" t="n">
        <v>1</v>
      </c>
      <c r="L295" s="11" t="inlineStr">
        <is>
          <t>-</t>
        </is>
      </c>
      <c r="M295" s="13" t="n"/>
      <c r="N295" s="13" t="n"/>
      <c r="O295" s="10" t="n">
        <v>100</v>
      </c>
      <c r="P295" s="11" t="inlineStr">
        <is>
          <t>مصرف مستقیم</t>
        </is>
      </c>
      <c r="Q295" s="10">
        <f>SUMIFS('ورودی برنامه'!$D$4:$D$16,'ورودی برنامه'!$A$4:$A$16,A295,'ورودی برنامه'!$C$4:$C$16,C295)</f>
        <v>1400</v>
      </c>
      <c r="R295" s="10">
        <f>SUMIFS('ورودی برنامه'!$E$4:$E$16,'ورودی برنامه'!$A$4:$A$16,A295,'ورودی برنامه'!$C$4:$C$16,C295)</f>
        <v>1200</v>
      </c>
      <c r="S295" s="10">
        <f>ROUND(Q295*J295/K295*O295/100,10)</f>
        <v>1400</v>
      </c>
      <c r="T295" s="10">
        <f>ROUND(R295*J295/K295*O295/100,10)</f>
        <v>1200</v>
      </c>
      <c r="U295" s="10" t="n">
        <v>1400</v>
      </c>
      <c r="V295" s="10" t="n">
        <v>1200</v>
      </c>
    </row>
    <row r="296" ht="20" customHeight="1">
      <c r="A296" s="5" t="n">
        <v>1201653</v>
      </c>
      <c r="B296" s="6" t="inlineStr">
        <is>
          <t>جعبه الکترونیکی مونتاژ ماشینی شده BCMi/SBMi_P207_SOREN_ARISUN Top</t>
        </is>
      </c>
      <c r="C296" s="6" t="inlineStr">
        <is>
          <t>13416020224</t>
        </is>
      </c>
      <c r="D296" s="6" t="inlineStr">
        <is>
          <t>1405/06/10</t>
        </is>
      </c>
      <c r="E296" s="9" t="n"/>
      <c r="F296" s="5" t="n">
        <v>5321</v>
      </c>
      <c r="G296" s="5" t="n">
        <v>1101077</v>
      </c>
      <c r="H296" s="6" t="inlineStr">
        <is>
          <t>Resistor,390K,1%,1/16W</t>
        </is>
      </c>
      <c r="I296" s="6" t="inlineStr">
        <is>
          <t>عدد(شمارشی)</t>
        </is>
      </c>
      <c r="J296" s="5" t="n">
        <v>2</v>
      </c>
      <c r="K296" s="5" t="n">
        <v>1</v>
      </c>
      <c r="L296" s="6" t="inlineStr">
        <is>
          <t>-</t>
        </is>
      </c>
      <c r="M296" s="9" t="n"/>
      <c r="N296" s="9" t="n"/>
      <c r="O296" s="5" t="n">
        <v>100</v>
      </c>
      <c r="P296" s="6" t="inlineStr">
        <is>
          <t>مصرف مستقیم</t>
        </is>
      </c>
      <c r="Q296" s="5">
        <f>SUMIFS('ورودی برنامه'!$D$4:$D$16,'ورودی برنامه'!$A$4:$A$16,A296,'ورودی برنامه'!$C$4:$C$16,C296)</f>
        <v>1400</v>
      </c>
      <c r="R296" s="5">
        <f>SUMIFS('ورودی برنامه'!$E$4:$E$16,'ورودی برنامه'!$A$4:$A$16,A296,'ورودی برنامه'!$C$4:$C$16,C296)</f>
        <v>1200</v>
      </c>
      <c r="S296" s="5">
        <f>ROUND(Q296*J296/K296*O296/100,10)</f>
        <v>2800</v>
      </c>
      <c r="T296" s="5">
        <f>ROUND(R296*J296/K296*O296/100,10)</f>
        <v>2400</v>
      </c>
      <c r="U296" s="5" t="n">
        <v>2800</v>
      </c>
      <c r="V296" s="5" t="n">
        <v>2400</v>
      </c>
    </row>
    <row r="297" ht="20" customHeight="1">
      <c r="A297" s="10" t="n">
        <v>1201653</v>
      </c>
      <c r="B297" s="11" t="inlineStr">
        <is>
          <t>جعبه الکترونیکی مونتاژ ماشینی شده BCMi/SBMi_P207_SOREN_ARISUN Top</t>
        </is>
      </c>
      <c r="C297" s="11" t="inlineStr">
        <is>
          <t>13416020224</t>
        </is>
      </c>
      <c r="D297" s="11" t="inlineStr">
        <is>
          <t>1405/06/10</t>
        </is>
      </c>
      <c r="E297" s="13" t="n"/>
      <c r="F297" s="10" t="n">
        <v>5350</v>
      </c>
      <c r="G297" s="10" t="n">
        <v>1101080</v>
      </c>
      <c r="H297" s="11" t="inlineStr">
        <is>
          <t>Resistor,6.2K,5%,1/16W</t>
        </is>
      </c>
      <c r="I297" s="11" t="inlineStr">
        <is>
          <t>عدد(شمارشی)</t>
        </is>
      </c>
      <c r="J297" s="10" t="n">
        <v>1</v>
      </c>
      <c r="K297" s="10" t="n">
        <v>1</v>
      </c>
      <c r="L297" s="11" t="inlineStr">
        <is>
          <t>-</t>
        </is>
      </c>
      <c r="M297" s="13" t="n"/>
      <c r="N297" s="13" t="n"/>
      <c r="O297" s="10" t="n">
        <v>100</v>
      </c>
      <c r="P297" s="11" t="inlineStr">
        <is>
          <t>مصرف مستقیم</t>
        </is>
      </c>
      <c r="Q297" s="10">
        <f>SUMIFS('ورودی برنامه'!$D$4:$D$16,'ورودی برنامه'!$A$4:$A$16,A297,'ورودی برنامه'!$C$4:$C$16,C297)</f>
        <v>1400</v>
      </c>
      <c r="R297" s="10">
        <f>SUMIFS('ورودی برنامه'!$E$4:$E$16,'ورودی برنامه'!$A$4:$A$16,A297,'ورودی برنامه'!$C$4:$C$16,C297)</f>
        <v>1200</v>
      </c>
      <c r="S297" s="10">
        <f>ROUND(Q297*J297/K297*O297/100,10)</f>
        <v>1400</v>
      </c>
      <c r="T297" s="10">
        <f>ROUND(R297*J297/K297*O297/100,10)</f>
        <v>1200</v>
      </c>
      <c r="U297" s="10" t="n">
        <v>1400</v>
      </c>
      <c r="V297" s="10" t="n">
        <v>1200</v>
      </c>
    </row>
    <row r="298" ht="20" customHeight="1">
      <c r="A298" s="5" t="n">
        <v>1201653</v>
      </c>
      <c r="B298" s="6" t="inlineStr">
        <is>
          <t>جعبه الکترونیکی مونتاژ ماشینی شده BCMi/SBMi_P207_SOREN_ARISUN Top</t>
        </is>
      </c>
      <c r="C298" s="6" t="inlineStr">
        <is>
          <t>13416020224</t>
        </is>
      </c>
      <c r="D298" s="6" t="inlineStr">
        <is>
          <t>1405/06/10</t>
        </is>
      </c>
      <c r="E298" s="9" t="n"/>
      <c r="F298" s="5" t="n">
        <v>5359</v>
      </c>
      <c r="G298" s="5" t="n">
        <v>1101081</v>
      </c>
      <c r="H298" s="6" t="inlineStr">
        <is>
          <t>Resistor,6.8,5%,1/16W</t>
        </is>
      </c>
      <c r="I298" s="6" t="inlineStr">
        <is>
          <t>عدد(شمارشی)</t>
        </is>
      </c>
      <c r="J298" s="5" t="n">
        <v>2</v>
      </c>
      <c r="K298" s="5" t="n">
        <v>1</v>
      </c>
      <c r="L298" s="6" t="inlineStr">
        <is>
          <t>-</t>
        </is>
      </c>
      <c r="M298" s="9" t="n"/>
      <c r="N298" s="9" t="n"/>
      <c r="O298" s="5" t="n">
        <v>100</v>
      </c>
      <c r="P298" s="6" t="inlineStr">
        <is>
          <t>مصرف مستقیم</t>
        </is>
      </c>
      <c r="Q298" s="5">
        <f>SUMIFS('ورودی برنامه'!$D$4:$D$16,'ورودی برنامه'!$A$4:$A$16,A298,'ورودی برنامه'!$C$4:$C$16,C298)</f>
        <v>1400</v>
      </c>
      <c r="R298" s="5">
        <f>SUMIFS('ورودی برنامه'!$E$4:$E$16,'ورودی برنامه'!$A$4:$A$16,A298,'ورودی برنامه'!$C$4:$C$16,C298)</f>
        <v>1200</v>
      </c>
      <c r="S298" s="5">
        <f>ROUND(Q298*J298/K298*O298/100,10)</f>
        <v>2800</v>
      </c>
      <c r="T298" s="5">
        <f>ROUND(R298*J298/K298*O298/100,10)</f>
        <v>2400</v>
      </c>
      <c r="U298" s="5" t="n">
        <v>2800</v>
      </c>
      <c r="V298" s="5" t="n">
        <v>2400</v>
      </c>
    </row>
    <row r="299" ht="20" customHeight="1">
      <c r="A299" s="10" t="n">
        <v>1201653</v>
      </c>
      <c r="B299" s="11" t="inlineStr">
        <is>
          <t>جعبه الکترونیکی مونتاژ ماشینی شده BCMi/SBMi_P207_SOREN_ARISUN Top</t>
        </is>
      </c>
      <c r="C299" s="11" t="inlineStr">
        <is>
          <t>13416020224</t>
        </is>
      </c>
      <c r="D299" s="11" t="inlineStr">
        <is>
          <t>1405/06/10</t>
        </is>
      </c>
      <c r="E299" s="13" t="n"/>
      <c r="F299" s="10" t="n">
        <v>5391</v>
      </c>
      <c r="G299" s="10" t="n">
        <v>1110654</v>
      </c>
      <c r="H299" s="11" t="inlineStr">
        <is>
          <t>Transistor BC817-40W</t>
        </is>
      </c>
      <c r="I299" s="11" t="inlineStr">
        <is>
          <t>عدد(شمارشی)</t>
        </is>
      </c>
      <c r="J299" s="10" t="n">
        <v>2</v>
      </c>
      <c r="K299" s="10" t="n">
        <v>1</v>
      </c>
      <c r="L299" s="11" t="inlineStr">
        <is>
          <t>-</t>
        </is>
      </c>
      <c r="M299" s="13" t="n"/>
      <c r="N299" s="13" t="n"/>
      <c r="O299" s="10" t="n">
        <v>100</v>
      </c>
      <c r="P299" s="11" t="inlineStr">
        <is>
          <t>مصرف مستقیم</t>
        </is>
      </c>
      <c r="Q299" s="10">
        <f>SUMIFS('ورودی برنامه'!$D$4:$D$16,'ورودی برنامه'!$A$4:$A$16,A299,'ورودی برنامه'!$C$4:$C$16,C299)</f>
        <v>1400</v>
      </c>
      <c r="R299" s="10">
        <f>SUMIFS('ورودی برنامه'!$E$4:$E$16,'ورودی برنامه'!$A$4:$A$16,A299,'ورودی برنامه'!$C$4:$C$16,C299)</f>
        <v>1200</v>
      </c>
      <c r="S299" s="10">
        <f>ROUND(Q299*J299/K299*O299/100,10)</f>
        <v>2800</v>
      </c>
      <c r="T299" s="10">
        <f>ROUND(R299*J299/K299*O299/100,10)</f>
        <v>2400</v>
      </c>
      <c r="U299" s="10" t="n">
        <v>2800</v>
      </c>
      <c r="V299" s="10" t="n">
        <v>2400</v>
      </c>
    </row>
    <row r="300" ht="20" customHeight="1">
      <c r="A300" s="5" t="n">
        <v>1201653</v>
      </c>
      <c r="B300" s="6" t="inlineStr">
        <is>
          <t>جعبه الکترونیکی مونتاژ ماشینی شده BCMi/SBMi_P207_SOREN_ARISUN Top</t>
        </is>
      </c>
      <c r="C300" s="6" t="inlineStr">
        <is>
          <t>13416020224</t>
        </is>
      </c>
      <c r="D300" s="6" t="inlineStr">
        <is>
          <t>1405/06/10</t>
        </is>
      </c>
      <c r="E300" s="9" t="n"/>
      <c r="F300" s="5" t="n">
        <v>5701</v>
      </c>
      <c r="G300" s="5" t="n">
        <v>1201654</v>
      </c>
      <c r="H300" s="6" t="inlineStr">
        <is>
          <t>BCMi/SBMi_P207_SOREN_ARISUN Bottom جعبه الکترونیکی مونتاژ ماشینی شده</t>
        </is>
      </c>
      <c r="I300" s="6" t="inlineStr">
        <is>
          <t>عدد(شمارشی)</t>
        </is>
      </c>
      <c r="J300" s="5" t="n">
        <v>1</v>
      </c>
      <c r="K300" s="5" t="n">
        <v>1</v>
      </c>
      <c r="L300" s="6" t="inlineStr">
        <is>
          <t>-</t>
        </is>
      </c>
      <c r="M300" s="9" t="n"/>
      <c r="N300" s="9" t="n"/>
      <c r="O300" s="5" t="n">
        <v>100</v>
      </c>
      <c r="P300" s="6" t="inlineStr">
        <is>
          <t>مصرف مستقیم</t>
        </is>
      </c>
      <c r="Q300" s="5">
        <f>SUMIFS('ورودی برنامه'!$D$4:$D$16,'ورودی برنامه'!$A$4:$A$16,A300,'ورودی برنامه'!$C$4:$C$16,C300)</f>
        <v>1400</v>
      </c>
      <c r="R300" s="5">
        <f>SUMIFS('ورودی برنامه'!$E$4:$E$16,'ورودی برنامه'!$A$4:$A$16,A300,'ورودی برنامه'!$C$4:$C$16,C300)</f>
        <v>1200</v>
      </c>
      <c r="S300" s="5">
        <f>ROUND(Q300*J300/K300*O300/100,10)</f>
        <v>1400</v>
      </c>
      <c r="T300" s="5">
        <f>ROUND(R300*J300/K300*O300/100,10)</f>
        <v>1200</v>
      </c>
      <c r="U300" s="5" t="n">
        <v>1400</v>
      </c>
      <c r="V300" s="5" t="n">
        <v>1200</v>
      </c>
    </row>
    <row r="301" ht="20" customHeight="1">
      <c r="A301" s="10" t="n">
        <v>1201653</v>
      </c>
      <c r="B301" s="11" t="inlineStr">
        <is>
          <t>جعبه الکترونیکی مونتاژ ماشینی شده BCMi/SBMi_P207_SOREN_ARISUN Top</t>
        </is>
      </c>
      <c r="C301" s="11" t="inlineStr">
        <is>
          <t>13416020224</t>
        </is>
      </c>
      <c r="D301" s="11" t="inlineStr">
        <is>
          <t>1405/06/10</t>
        </is>
      </c>
      <c r="E301" s="13" t="n"/>
      <c r="F301" s="10" t="n">
        <v>7093</v>
      </c>
      <c r="G301" s="10" t="n">
        <v>1110229</v>
      </c>
      <c r="H301" s="11" t="inlineStr">
        <is>
          <t>Resistor 680,5%,1/4W.</t>
        </is>
      </c>
      <c r="I301" s="11" t="inlineStr">
        <is>
          <t>عدد</t>
        </is>
      </c>
      <c r="J301" s="10" t="n">
        <v>1</v>
      </c>
      <c r="K301" s="10" t="n">
        <v>1</v>
      </c>
      <c r="L301" s="11" t="inlineStr">
        <is>
          <t>4</t>
        </is>
      </c>
      <c r="M301" s="10" t="n">
        <v>1</v>
      </c>
      <c r="N301" s="10" t="n">
        <v>50</v>
      </c>
      <c r="O301" s="10">
        <f>N301</f>
        <v>50</v>
      </c>
      <c r="P301" s="11" t="inlineStr">
        <is>
          <t>سهم درصد استفاده BOM</t>
        </is>
      </c>
      <c r="Q301" s="10">
        <f>SUMIFS('ورودی برنامه'!$D$4:$D$16,'ورودی برنامه'!$A$4:$A$16,A301,'ورودی برنامه'!$C$4:$C$16,C301)</f>
        <v>1400</v>
      </c>
      <c r="R301" s="10">
        <f>SUMIFS('ورودی برنامه'!$E$4:$E$16,'ورودی برنامه'!$A$4:$A$16,A301,'ورودی برنامه'!$C$4:$C$16,C301)</f>
        <v>1200</v>
      </c>
      <c r="S301" s="10">
        <f>ROUND(Q301*J301/K301*O301/100,10)</f>
        <v>700</v>
      </c>
      <c r="T301" s="10">
        <f>ROUND(R301*J301/K301*O301/100,10)</f>
        <v>600</v>
      </c>
      <c r="U301" s="10" t="n">
        <v>1400</v>
      </c>
      <c r="V301" s="10" t="n">
        <v>1200</v>
      </c>
    </row>
    <row r="302" ht="20" customHeight="1">
      <c r="A302" s="5" t="n">
        <v>1201653</v>
      </c>
      <c r="B302" s="6" t="inlineStr">
        <is>
          <t>جعبه الکترونیکی مونتاژ ماشینی شده BCMi/SBMi_P207_SOREN_ARISUN Top</t>
        </is>
      </c>
      <c r="C302" s="6" t="inlineStr">
        <is>
          <t>13416020224</t>
        </is>
      </c>
      <c r="D302" s="6" t="inlineStr">
        <is>
          <t>1405/06/10</t>
        </is>
      </c>
      <c r="E302" s="9" t="n"/>
      <c r="F302" s="5" t="n">
        <v>9265</v>
      </c>
      <c r="G302" s="5" t="n">
        <v>1110281</v>
      </c>
      <c r="H302" s="6" t="inlineStr">
        <is>
          <t>Resistor 1K,1%,1/4W</t>
        </is>
      </c>
      <c r="I302" s="6" t="inlineStr">
        <is>
          <t>عدد</t>
        </is>
      </c>
      <c r="J302" s="5" t="n">
        <v>2</v>
      </c>
      <c r="K302" s="5" t="n">
        <v>1</v>
      </c>
      <c r="L302" s="6" t="inlineStr">
        <is>
          <t>2</t>
        </is>
      </c>
      <c r="M302" s="5" t="n">
        <v>2</v>
      </c>
      <c r="N302" s="5" t="n">
        <v>50</v>
      </c>
      <c r="O302" s="5">
        <f>N302</f>
        <v>50</v>
      </c>
      <c r="P302" s="6" t="inlineStr">
        <is>
          <t>سهم درصد استفاده BOM</t>
        </is>
      </c>
      <c r="Q302" s="5">
        <f>SUMIFS('ورودی برنامه'!$D$4:$D$16,'ورودی برنامه'!$A$4:$A$16,A302,'ورودی برنامه'!$C$4:$C$16,C302)</f>
        <v>1400</v>
      </c>
      <c r="R302" s="5">
        <f>SUMIFS('ورودی برنامه'!$E$4:$E$16,'ورودی برنامه'!$A$4:$A$16,A302,'ورودی برنامه'!$C$4:$C$16,C302)</f>
        <v>1200</v>
      </c>
      <c r="S302" s="5">
        <f>ROUND(Q302*J302/K302*O302/100,10)</f>
        <v>1400</v>
      </c>
      <c r="T302" s="5">
        <f>ROUND(R302*J302/K302*O302/100,10)</f>
        <v>1200</v>
      </c>
      <c r="U302" s="5" t="n">
        <v>0</v>
      </c>
      <c r="V302" s="5" t="n">
        <v>0</v>
      </c>
    </row>
    <row r="303" ht="20" customHeight="1">
      <c r="A303" s="10" t="n">
        <v>1201653</v>
      </c>
      <c r="B303" s="11" t="inlineStr">
        <is>
          <t>جعبه الکترونیکی مونتاژ ماشینی شده BCMi/SBMi_P207_SOREN_ARISUN Top</t>
        </is>
      </c>
      <c r="C303" s="11" t="inlineStr">
        <is>
          <t>13416020224</t>
        </is>
      </c>
      <c r="D303" s="11" t="inlineStr">
        <is>
          <t>1405/06/10</t>
        </is>
      </c>
      <c r="E303" s="13" t="n"/>
      <c r="F303" s="10" t="n">
        <v>9288</v>
      </c>
      <c r="G303" s="10" t="n">
        <v>1110075</v>
      </c>
      <c r="H303" s="11" t="inlineStr">
        <is>
          <t>Capacitor 10N,50V,X7R,10%</t>
        </is>
      </c>
      <c r="I303" s="11" t="inlineStr">
        <is>
          <t>عدد</t>
        </is>
      </c>
      <c r="J303" s="10" t="n">
        <v>1</v>
      </c>
      <c r="K303" s="10" t="n">
        <v>1</v>
      </c>
      <c r="L303" s="11" t="inlineStr">
        <is>
          <t>-</t>
        </is>
      </c>
      <c r="M303" s="13" t="n"/>
      <c r="N303" s="13" t="n"/>
      <c r="O303" s="10" t="n">
        <v>100</v>
      </c>
      <c r="P303" s="11" t="inlineStr">
        <is>
          <t>مصرف مستقیم</t>
        </is>
      </c>
      <c r="Q303" s="10">
        <f>SUMIFS('ورودی برنامه'!$D$4:$D$16,'ورودی برنامه'!$A$4:$A$16,A303,'ورودی برنامه'!$C$4:$C$16,C303)</f>
        <v>1400</v>
      </c>
      <c r="R303" s="10">
        <f>SUMIFS('ورودی برنامه'!$E$4:$E$16,'ورودی برنامه'!$A$4:$A$16,A303,'ورودی برنامه'!$C$4:$C$16,C303)</f>
        <v>1200</v>
      </c>
      <c r="S303" s="10">
        <f>ROUND(Q303*J303/K303*O303/100,10)</f>
        <v>1400</v>
      </c>
      <c r="T303" s="10">
        <f>ROUND(R303*J303/K303*O303/100,10)</f>
        <v>1200</v>
      </c>
      <c r="U303" s="10" t="n">
        <v>1400</v>
      </c>
      <c r="V303" s="10" t="n">
        <v>1200</v>
      </c>
    </row>
    <row r="304" ht="20" customHeight="1">
      <c r="A304" s="5" t="n">
        <v>1201653</v>
      </c>
      <c r="B304" s="6" t="inlineStr">
        <is>
          <t>جعبه الکترونیکی مونتاژ ماشینی شده BCMi/SBMi_P207_SOREN_ARISUN Top</t>
        </is>
      </c>
      <c r="C304" s="6" t="inlineStr">
        <is>
          <t>13416020224</t>
        </is>
      </c>
      <c r="D304" s="6" t="inlineStr">
        <is>
          <t>1405/06/10</t>
        </is>
      </c>
      <c r="E304" s="9" t="n"/>
      <c r="F304" s="5" t="n">
        <v>11226</v>
      </c>
      <c r="G304" s="5" t="n">
        <v>1110284</v>
      </c>
      <c r="H304" s="6" t="inlineStr">
        <is>
          <t>Resistor 1.2K,5%,1/4W</t>
        </is>
      </c>
      <c r="I304" s="6" t="inlineStr">
        <is>
          <t>عدد</t>
        </is>
      </c>
      <c r="J304" s="5" t="n">
        <v>7</v>
      </c>
      <c r="K304" s="5" t="n">
        <v>1</v>
      </c>
      <c r="L304" s="6" t="inlineStr">
        <is>
          <t>-</t>
        </is>
      </c>
      <c r="M304" s="9" t="n"/>
      <c r="N304" s="9" t="n"/>
      <c r="O304" s="5" t="n">
        <v>100</v>
      </c>
      <c r="P304" s="6" t="inlineStr">
        <is>
          <t>مصرف مستقیم</t>
        </is>
      </c>
      <c r="Q304" s="5">
        <f>SUMIFS('ورودی برنامه'!$D$4:$D$16,'ورودی برنامه'!$A$4:$A$16,A304,'ورودی برنامه'!$C$4:$C$16,C304)</f>
        <v>1400</v>
      </c>
      <c r="R304" s="5">
        <f>SUMIFS('ورودی برنامه'!$E$4:$E$16,'ورودی برنامه'!$A$4:$A$16,A304,'ورودی برنامه'!$C$4:$C$16,C304)</f>
        <v>1200</v>
      </c>
      <c r="S304" s="5">
        <f>ROUND(Q304*J304/K304*O304/100,10)</f>
        <v>9800</v>
      </c>
      <c r="T304" s="5">
        <f>ROUND(R304*J304/K304*O304/100,10)</f>
        <v>8400</v>
      </c>
      <c r="U304" s="5" t="n">
        <v>9800</v>
      </c>
      <c r="V304" s="5" t="n">
        <v>8400</v>
      </c>
    </row>
    <row r="305" ht="20" customHeight="1">
      <c r="A305" s="10" t="n">
        <v>1201653</v>
      </c>
      <c r="B305" s="11" t="inlineStr">
        <is>
          <t>جعبه الکترونیکی مونتاژ ماشینی شده BCMi/SBMi_P207_SOREN_ARISUN Top</t>
        </is>
      </c>
      <c r="C305" s="11" t="inlineStr">
        <is>
          <t>13416020224</t>
        </is>
      </c>
      <c r="D305" s="11" t="inlineStr">
        <is>
          <t>1405/06/10</t>
        </is>
      </c>
      <c r="E305" s="13" t="n"/>
      <c r="F305" s="10" t="n">
        <v>14742</v>
      </c>
      <c r="G305" s="10" t="n">
        <v>1110242</v>
      </c>
      <c r="H305" s="11" t="inlineStr">
        <is>
          <t>Resistor 680,1%,1/4W.</t>
        </is>
      </c>
      <c r="I305" s="11" t="inlineStr">
        <is>
          <t>عدد</t>
        </is>
      </c>
      <c r="J305" s="10" t="n">
        <v>1</v>
      </c>
      <c r="K305" s="10" t="n">
        <v>1</v>
      </c>
      <c r="L305" s="11" t="inlineStr">
        <is>
          <t>4</t>
        </is>
      </c>
      <c r="M305" s="10" t="n">
        <v>2</v>
      </c>
      <c r="N305" s="10" t="n">
        <v>50</v>
      </c>
      <c r="O305" s="10">
        <f>N305</f>
        <v>50</v>
      </c>
      <c r="P305" s="11" t="inlineStr">
        <is>
          <t>سهم درصد استفاده BOM</t>
        </is>
      </c>
      <c r="Q305" s="10">
        <f>SUMIFS('ورودی برنامه'!$D$4:$D$16,'ورودی برنامه'!$A$4:$A$16,A305,'ورودی برنامه'!$C$4:$C$16,C305)</f>
        <v>1400</v>
      </c>
      <c r="R305" s="10">
        <f>SUMIFS('ورودی برنامه'!$E$4:$E$16,'ورودی برنامه'!$A$4:$A$16,A305,'ورودی برنامه'!$C$4:$C$16,C305)</f>
        <v>1200</v>
      </c>
      <c r="S305" s="10">
        <f>ROUND(Q305*J305/K305*O305/100,10)</f>
        <v>700</v>
      </c>
      <c r="T305" s="10">
        <f>ROUND(R305*J305/K305*O305/100,10)</f>
        <v>600</v>
      </c>
      <c r="U305" s="10" t="n">
        <v>0</v>
      </c>
      <c r="V305" s="10" t="n">
        <v>0</v>
      </c>
    </row>
    <row r="306" ht="20" customHeight="1">
      <c r="A306" s="5" t="n">
        <v>1201653</v>
      </c>
      <c r="B306" s="6" t="inlineStr">
        <is>
          <t>جعبه الکترونیکی مونتاژ ماشینی شده BCMi/SBMi_P207_SOREN_ARISUN Top</t>
        </is>
      </c>
      <c r="C306" s="6" t="inlineStr">
        <is>
          <t>13416020224</t>
        </is>
      </c>
      <c r="D306" s="6" t="inlineStr">
        <is>
          <t>1405/06/10</t>
        </is>
      </c>
      <c r="E306" s="9" t="n"/>
      <c r="F306" s="5" t="n">
        <v>16691</v>
      </c>
      <c r="G306" s="5" t="n">
        <v>1110364</v>
      </c>
      <c r="H306" s="6" t="inlineStr">
        <is>
          <t>Resistor 1.8K,5%,1/4W</t>
        </is>
      </c>
      <c r="I306" s="6" t="inlineStr">
        <is>
          <t>عدد</t>
        </is>
      </c>
      <c r="J306" s="5" t="n">
        <v>7</v>
      </c>
      <c r="K306" s="5" t="n">
        <v>1</v>
      </c>
      <c r="L306" s="6" t="inlineStr">
        <is>
          <t>-</t>
        </is>
      </c>
      <c r="M306" s="9" t="n"/>
      <c r="N306" s="9" t="n"/>
      <c r="O306" s="5" t="n">
        <v>100</v>
      </c>
      <c r="P306" s="6" t="inlineStr">
        <is>
          <t>مصرف مستقیم</t>
        </is>
      </c>
      <c r="Q306" s="5">
        <f>SUMIFS('ورودی برنامه'!$D$4:$D$16,'ورودی برنامه'!$A$4:$A$16,A306,'ورودی برنامه'!$C$4:$C$16,C306)</f>
        <v>1400</v>
      </c>
      <c r="R306" s="5">
        <f>SUMIFS('ورودی برنامه'!$E$4:$E$16,'ورودی برنامه'!$A$4:$A$16,A306,'ورودی برنامه'!$C$4:$C$16,C306)</f>
        <v>1200</v>
      </c>
      <c r="S306" s="5">
        <f>ROUND(Q306*J306/K306*O306/100,10)</f>
        <v>9800</v>
      </c>
      <c r="T306" s="5">
        <f>ROUND(R306*J306/K306*O306/100,10)</f>
        <v>8400</v>
      </c>
      <c r="U306" s="5" t="n">
        <v>9800</v>
      </c>
      <c r="V306" s="5" t="n">
        <v>8400</v>
      </c>
    </row>
    <row r="307" ht="20" customHeight="1">
      <c r="A307" s="10" t="n">
        <v>1201653</v>
      </c>
      <c r="B307" s="11" t="inlineStr">
        <is>
          <t>جعبه الکترونیکی مونتاژ ماشینی شده BCMi/SBMi_P207_SOREN_ARISUN Top</t>
        </is>
      </c>
      <c r="C307" s="11" t="inlineStr">
        <is>
          <t>13416020224</t>
        </is>
      </c>
      <c r="D307" s="11" t="inlineStr">
        <is>
          <t>1405/06/10</t>
        </is>
      </c>
      <c r="E307" s="13" t="n"/>
      <c r="F307" s="10" t="n">
        <v>17291</v>
      </c>
      <c r="G307" s="10" t="n">
        <v>1110630</v>
      </c>
      <c r="H307" s="11" t="inlineStr">
        <is>
          <t>ESD Protection</t>
        </is>
      </c>
      <c r="I307" s="11" t="inlineStr">
        <is>
          <t>عدد</t>
        </is>
      </c>
      <c r="J307" s="10" t="n">
        <v>3</v>
      </c>
      <c r="K307" s="10" t="n">
        <v>1</v>
      </c>
      <c r="L307" s="11" t="inlineStr">
        <is>
          <t>-</t>
        </is>
      </c>
      <c r="M307" s="13" t="n"/>
      <c r="N307" s="13" t="n"/>
      <c r="O307" s="10" t="n">
        <v>100</v>
      </c>
      <c r="P307" s="11" t="inlineStr">
        <is>
          <t>مصرف مستقیم</t>
        </is>
      </c>
      <c r="Q307" s="10">
        <f>SUMIFS('ورودی برنامه'!$D$4:$D$16,'ورودی برنامه'!$A$4:$A$16,A307,'ورودی برنامه'!$C$4:$C$16,C307)</f>
        <v>1400</v>
      </c>
      <c r="R307" s="10">
        <f>SUMIFS('ورودی برنامه'!$E$4:$E$16,'ورودی برنامه'!$A$4:$A$16,A307,'ورودی برنامه'!$C$4:$C$16,C307)</f>
        <v>1200</v>
      </c>
      <c r="S307" s="10">
        <f>ROUND(Q307*J307/K307*O307/100,10)</f>
        <v>4200</v>
      </c>
      <c r="T307" s="10">
        <f>ROUND(R307*J307/K307*O307/100,10)</f>
        <v>3600</v>
      </c>
      <c r="U307" s="10" t="n">
        <v>4200</v>
      </c>
      <c r="V307" s="10" t="n">
        <v>3600</v>
      </c>
    </row>
    <row r="308" ht="20" customHeight="1">
      <c r="A308" s="5" t="n">
        <v>1201653</v>
      </c>
      <c r="B308" s="6" t="inlineStr">
        <is>
          <t>جعبه الکترونیکی مونتاژ ماشینی شده BCMi/SBMi_P207_SOREN_ARISUN Top</t>
        </is>
      </c>
      <c r="C308" s="6" t="inlineStr">
        <is>
          <t>13416020224</t>
        </is>
      </c>
      <c r="D308" s="6" t="inlineStr">
        <is>
          <t>1405/06/10</t>
        </is>
      </c>
      <c r="E308" s="9" t="n"/>
      <c r="F308" s="5" t="n">
        <v>17935</v>
      </c>
      <c r="G308" s="5" t="n">
        <v>1110464</v>
      </c>
      <c r="H308" s="6" t="inlineStr">
        <is>
          <t>IC VNN7NV0413TR</t>
        </is>
      </c>
      <c r="I308" s="6" t="inlineStr">
        <is>
          <t>عدد</t>
        </is>
      </c>
      <c r="J308" s="5" t="n">
        <v>1</v>
      </c>
      <c r="K308" s="5" t="n">
        <v>1</v>
      </c>
      <c r="L308" s="6" t="inlineStr">
        <is>
          <t>11</t>
        </is>
      </c>
      <c r="M308" s="5" t="n">
        <v>2</v>
      </c>
      <c r="N308" s="5" t="n">
        <v>50</v>
      </c>
      <c r="O308" s="5">
        <f>N308</f>
        <v>50</v>
      </c>
      <c r="P308" s="6" t="inlineStr">
        <is>
          <t>سهم درصد استفاده BOM</t>
        </is>
      </c>
      <c r="Q308" s="5">
        <f>SUMIFS('ورودی برنامه'!$D$4:$D$16,'ورودی برنامه'!$A$4:$A$16,A308,'ورودی برنامه'!$C$4:$C$16,C308)</f>
        <v>1400</v>
      </c>
      <c r="R308" s="5">
        <f>SUMIFS('ورودی برنامه'!$E$4:$E$16,'ورودی برنامه'!$A$4:$A$16,A308,'ورودی برنامه'!$C$4:$C$16,C308)</f>
        <v>1200</v>
      </c>
      <c r="S308" s="5">
        <f>ROUND(Q308*J308/K308*O308/100,10)</f>
        <v>700</v>
      </c>
      <c r="T308" s="5">
        <f>ROUND(R308*J308/K308*O308/100,10)</f>
        <v>600</v>
      </c>
      <c r="U308" s="5" t="n">
        <v>0</v>
      </c>
      <c r="V308" s="5" t="n">
        <v>0</v>
      </c>
    </row>
    <row r="309" ht="20" customHeight="1">
      <c r="A309" s="10" t="n">
        <v>1201653</v>
      </c>
      <c r="B309" s="11" t="inlineStr">
        <is>
          <t>جعبه الکترونیکی مونتاژ ماشینی شده BCMi/SBMi_P207_SOREN_ARISUN Top</t>
        </is>
      </c>
      <c r="C309" s="11" t="inlineStr">
        <is>
          <t>13416020224</t>
        </is>
      </c>
      <c r="D309" s="11" t="inlineStr">
        <is>
          <t>1405/06/10</t>
        </is>
      </c>
      <c r="E309" s="13" t="n"/>
      <c r="F309" s="10" t="n">
        <v>21104</v>
      </c>
      <c r="G309" s="10" t="n">
        <v>1110032</v>
      </c>
      <c r="H309" s="11" t="inlineStr">
        <is>
          <t>Capacitor-Electrolyte 100uf-16v-20%</t>
        </is>
      </c>
      <c r="I309" s="11" t="inlineStr">
        <is>
          <t>عدد</t>
        </is>
      </c>
      <c r="J309" s="10" t="n">
        <v>1</v>
      </c>
      <c r="K309" s="10" t="n">
        <v>1</v>
      </c>
      <c r="L309" s="11" t="inlineStr">
        <is>
          <t>1</t>
        </is>
      </c>
      <c r="M309" s="10" t="n">
        <v>1</v>
      </c>
      <c r="N309" s="10" t="n">
        <v>50</v>
      </c>
      <c r="O309" s="10">
        <f>N309</f>
        <v>50</v>
      </c>
      <c r="P309" s="11" t="inlineStr">
        <is>
          <t>سهم درصد استفاده BOM</t>
        </is>
      </c>
      <c r="Q309" s="10">
        <f>SUMIFS('ورودی برنامه'!$D$4:$D$16,'ورودی برنامه'!$A$4:$A$16,A309,'ورودی برنامه'!$C$4:$C$16,C309)</f>
        <v>1400</v>
      </c>
      <c r="R309" s="10">
        <f>SUMIFS('ورودی برنامه'!$E$4:$E$16,'ورودی برنامه'!$A$4:$A$16,A309,'ورودی برنامه'!$C$4:$C$16,C309)</f>
        <v>1200</v>
      </c>
      <c r="S309" s="10">
        <f>ROUND(Q309*J309/K309*O309/100,10)</f>
        <v>700</v>
      </c>
      <c r="T309" s="10">
        <f>ROUND(R309*J309/K309*O309/100,10)</f>
        <v>600</v>
      </c>
      <c r="U309" s="10" t="n">
        <v>1400</v>
      </c>
      <c r="V309" s="10" t="n">
        <v>1200</v>
      </c>
    </row>
    <row r="310" ht="20" customHeight="1">
      <c r="A310" s="5" t="n">
        <v>1201653</v>
      </c>
      <c r="B310" s="6" t="inlineStr">
        <is>
          <t>جعبه الکترونیکی مونتاژ ماشینی شده BCMi/SBMi_P207_SOREN_ARISUN Top</t>
        </is>
      </c>
      <c r="C310" s="6" t="inlineStr">
        <is>
          <t>13416020224</t>
        </is>
      </c>
      <c r="D310" s="6" t="inlineStr">
        <is>
          <t>1405/06/10</t>
        </is>
      </c>
      <c r="E310" s="9" t="n"/>
      <c r="F310" s="5" t="n">
        <v>22387</v>
      </c>
      <c r="G310" s="5" t="n">
        <v>1110376</v>
      </c>
      <c r="H310" s="6" t="inlineStr">
        <is>
          <t>Resistor 1K,5%,1/4 W</t>
        </is>
      </c>
      <c r="I310" s="6" t="inlineStr">
        <is>
          <t>عدد</t>
        </is>
      </c>
      <c r="J310" s="5" t="n">
        <v>2</v>
      </c>
      <c r="K310" s="5" t="n">
        <v>1</v>
      </c>
      <c r="L310" s="6" t="inlineStr">
        <is>
          <t>2</t>
        </is>
      </c>
      <c r="M310" s="5" t="n">
        <v>1</v>
      </c>
      <c r="N310" s="5" t="n">
        <v>50</v>
      </c>
      <c r="O310" s="5">
        <f>N310</f>
        <v>50</v>
      </c>
      <c r="P310" s="6" t="inlineStr">
        <is>
          <t>سهم درصد استفاده BOM</t>
        </is>
      </c>
      <c r="Q310" s="5">
        <f>SUMIFS('ورودی برنامه'!$D$4:$D$16,'ورودی برنامه'!$A$4:$A$16,A310,'ورودی برنامه'!$C$4:$C$16,C310)</f>
        <v>1400</v>
      </c>
      <c r="R310" s="5">
        <f>SUMIFS('ورودی برنامه'!$E$4:$E$16,'ورودی برنامه'!$A$4:$A$16,A310,'ورودی برنامه'!$C$4:$C$16,C310)</f>
        <v>1200</v>
      </c>
      <c r="S310" s="5">
        <f>ROUND(Q310*J310/K310*O310/100,10)</f>
        <v>1400</v>
      </c>
      <c r="T310" s="5">
        <f>ROUND(R310*J310/K310*O310/100,10)</f>
        <v>1200</v>
      </c>
      <c r="U310" s="5" t="n">
        <v>2800</v>
      </c>
      <c r="V310" s="5" t="n">
        <v>2400</v>
      </c>
    </row>
    <row r="311" ht="20" customHeight="1">
      <c r="A311" s="10" t="n">
        <v>1201653</v>
      </c>
      <c r="B311" s="11" t="inlineStr">
        <is>
          <t>جعبه الکترونیکی مونتاژ ماشینی شده BCMi/SBMi_P207_SOREN_ARISUN Top</t>
        </is>
      </c>
      <c r="C311" s="11" t="inlineStr">
        <is>
          <t>13416020224</t>
        </is>
      </c>
      <c r="D311" s="11" t="inlineStr">
        <is>
          <t>1405/06/10</t>
        </is>
      </c>
      <c r="E311" s="13" t="n"/>
      <c r="F311" s="10" t="n">
        <v>24207</v>
      </c>
      <c r="G311" s="10" t="n">
        <v>1110095</v>
      </c>
      <c r="H311" s="11" t="inlineStr">
        <is>
          <t>Capacitor 100nF,X7R,50V,10%</t>
        </is>
      </c>
      <c r="I311" s="11" t="inlineStr">
        <is>
          <t>عدد</t>
        </is>
      </c>
      <c r="J311" s="10" t="n">
        <v>12</v>
      </c>
      <c r="K311" s="10" t="n">
        <v>1</v>
      </c>
      <c r="L311" s="11" t="inlineStr">
        <is>
          <t>-</t>
        </is>
      </c>
      <c r="M311" s="13" t="n"/>
      <c r="N311" s="13" t="n"/>
      <c r="O311" s="10" t="n">
        <v>100</v>
      </c>
      <c r="P311" s="11" t="inlineStr">
        <is>
          <t>مصرف مستقیم</t>
        </is>
      </c>
      <c r="Q311" s="10">
        <f>SUMIFS('ورودی برنامه'!$D$4:$D$16,'ورودی برنامه'!$A$4:$A$16,A311,'ورودی برنامه'!$C$4:$C$16,C311)</f>
        <v>1400</v>
      </c>
      <c r="R311" s="10">
        <f>SUMIFS('ورودی برنامه'!$E$4:$E$16,'ورودی برنامه'!$A$4:$A$16,A311,'ورودی برنامه'!$C$4:$C$16,C311)</f>
        <v>1200</v>
      </c>
      <c r="S311" s="10">
        <f>ROUND(Q311*J311/K311*O311/100,10)</f>
        <v>16800</v>
      </c>
      <c r="T311" s="10">
        <f>ROUND(R311*J311/K311*O311/100,10)</f>
        <v>14400</v>
      </c>
      <c r="U311" s="10" t="n">
        <v>16800</v>
      </c>
      <c r="V311" s="10" t="n">
        <v>14400</v>
      </c>
    </row>
    <row r="312" ht="20" customHeight="1">
      <c r="A312" s="5" t="n">
        <v>1201653</v>
      </c>
      <c r="B312" s="6" t="inlineStr">
        <is>
          <t>جعبه الکترونیکی مونتاژ ماشینی شده BCMi/SBMi_P207_SOREN_ARISUN Top</t>
        </is>
      </c>
      <c r="C312" s="6" t="inlineStr">
        <is>
          <t>13416020224</t>
        </is>
      </c>
      <c r="D312" s="6" t="inlineStr">
        <is>
          <t>1405/06/10</t>
        </is>
      </c>
      <c r="E312" s="9" t="n"/>
      <c r="F312" s="5" t="n">
        <v>24498</v>
      </c>
      <c r="G312" s="5" t="n">
        <v>1110914</v>
      </c>
      <c r="H312" s="6" t="inlineStr">
        <is>
          <t>Diode BAV99WT1G</t>
        </is>
      </c>
      <c r="I312" s="6" t="inlineStr">
        <is>
          <t>عدد</t>
        </is>
      </c>
      <c r="J312" s="5" t="n">
        <v>8</v>
      </c>
      <c r="K312" s="5" t="n">
        <v>1</v>
      </c>
      <c r="L312" s="6" t="inlineStr">
        <is>
          <t>-</t>
        </is>
      </c>
      <c r="M312" s="9" t="n"/>
      <c r="N312" s="9" t="n"/>
      <c r="O312" s="5" t="n">
        <v>100</v>
      </c>
      <c r="P312" s="6" t="inlineStr">
        <is>
          <t>مصرف مستقیم</t>
        </is>
      </c>
      <c r="Q312" s="5">
        <f>SUMIFS('ورودی برنامه'!$D$4:$D$16,'ورودی برنامه'!$A$4:$A$16,A312,'ورودی برنامه'!$C$4:$C$16,C312)</f>
        <v>1400</v>
      </c>
      <c r="R312" s="5">
        <f>SUMIFS('ورودی برنامه'!$E$4:$E$16,'ورودی برنامه'!$A$4:$A$16,A312,'ورودی برنامه'!$C$4:$C$16,C312)</f>
        <v>1200</v>
      </c>
      <c r="S312" s="5">
        <f>ROUND(Q312*J312/K312*O312/100,10)</f>
        <v>11200</v>
      </c>
      <c r="T312" s="5">
        <f>ROUND(R312*J312/K312*O312/100,10)</f>
        <v>9600</v>
      </c>
      <c r="U312" s="5" t="n">
        <v>11200</v>
      </c>
      <c r="V312" s="5" t="n">
        <v>9600</v>
      </c>
    </row>
    <row r="313" ht="20" customHeight="1">
      <c r="A313" s="10" t="n">
        <v>1201653</v>
      </c>
      <c r="B313" s="11" t="inlineStr">
        <is>
          <t>جعبه الکترونیکی مونتاژ ماشینی شده BCMi/SBMi_P207_SOREN_ARISUN Top</t>
        </is>
      </c>
      <c r="C313" s="11" t="inlineStr">
        <is>
          <t>13416020224</t>
        </is>
      </c>
      <c r="D313" s="11" t="inlineStr">
        <is>
          <t>1405/06/10</t>
        </is>
      </c>
      <c r="E313" s="13" t="n"/>
      <c r="F313" s="10" t="n">
        <v>25344</v>
      </c>
      <c r="G313" s="10" t="n">
        <v>1110105</v>
      </c>
      <c r="H313" s="11" t="inlineStr">
        <is>
          <t>Electrolit Capacitor 100uF,16V,20% 105</t>
        </is>
      </c>
      <c r="I313" s="11" t="inlineStr">
        <is>
          <t>عدد</t>
        </is>
      </c>
      <c r="J313" s="10" t="n">
        <v>1</v>
      </c>
      <c r="K313" s="10" t="n">
        <v>1</v>
      </c>
      <c r="L313" s="11" t="inlineStr">
        <is>
          <t>1</t>
        </is>
      </c>
      <c r="M313" s="10" t="n">
        <v>2</v>
      </c>
      <c r="N313" s="10" t="n">
        <v>50</v>
      </c>
      <c r="O313" s="10">
        <f>N313</f>
        <v>50</v>
      </c>
      <c r="P313" s="11" t="inlineStr">
        <is>
          <t>سهم درصد استفاده BOM</t>
        </is>
      </c>
      <c r="Q313" s="10">
        <f>SUMIFS('ورودی برنامه'!$D$4:$D$16,'ورودی برنامه'!$A$4:$A$16,A313,'ورودی برنامه'!$C$4:$C$16,C313)</f>
        <v>1400</v>
      </c>
      <c r="R313" s="10">
        <f>SUMIFS('ورودی برنامه'!$E$4:$E$16,'ورودی برنامه'!$A$4:$A$16,A313,'ورودی برنامه'!$C$4:$C$16,C313)</f>
        <v>1200</v>
      </c>
      <c r="S313" s="10">
        <f>ROUND(Q313*J313/K313*O313/100,10)</f>
        <v>700</v>
      </c>
      <c r="T313" s="10">
        <f>ROUND(R313*J313/K313*O313/100,10)</f>
        <v>600</v>
      </c>
      <c r="U313" s="10" t="n">
        <v>0</v>
      </c>
      <c r="V313" s="10" t="n">
        <v>0</v>
      </c>
    </row>
    <row r="314" ht="20" customHeight="1">
      <c r="A314" s="5" t="n">
        <v>1201653</v>
      </c>
      <c r="B314" s="6" t="inlineStr">
        <is>
          <t>جعبه الکترونیکی مونتاژ ماشینی شده BCMi/SBMi_P207_SOREN_ARISUN Top</t>
        </is>
      </c>
      <c r="C314" s="6" t="inlineStr">
        <is>
          <t>13416020224</t>
        </is>
      </c>
      <c r="D314" s="6" t="inlineStr">
        <is>
          <t>1405/06/10</t>
        </is>
      </c>
      <c r="E314" s="9" t="n"/>
      <c r="F314" s="5" t="n">
        <v>26308</v>
      </c>
      <c r="G314" s="5" t="n">
        <v>1110484</v>
      </c>
      <c r="H314" s="6" t="inlineStr">
        <is>
          <t>IC BSP78</t>
        </is>
      </c>
      <c r="I314" s="6" t="inlineStr">
        <is>
          <t>عدد</t>
        </is>
      </c>
      <c r="J314" s="5" t="n">
        <v>1</v>
      </c>
      <c r="K314" s="5" t="n">
        <v>1</v>
      </c>
      <c r="L314" s="6" t="inlineStr">
        <is>
          <t>11</t>
        </is>
      </c>
      <c r="M314" s="5" t="n">
        <v>1</v>
      </c>
      <c r="N314" s="5" t="n">
        <v>50</v>
      </c>
      <c r="O314" s="5">
        <f>N314</f>
        <v>50</v>
      </c>
      <c r="P314" s="6" t="inlineStr">
        <is>
          <t>سهم درصد استفاده BOM</t>
        </is>
      </c>
      <c r="Q314" s="5">
        <f>SUMIFS('ورودی برنامه'!$D$4:$D$16,'ورودی برنامه'!$A$4:$A$16,A314,'ورودی برنامه'!$C$4:$C$16,C314)</f>
        <v>1400</v>
      </c>
      <c r="R314" s="5">
        <f>SUMIFS('ورودی برنامه'!$E$4:$E$16,'ورودی برنامه'!$A$4:$A$16,A314,'ورودی برنامه'!$C$4:$C$16,C314)</f>
        <v>1200</v>
      </c>
      <c r="S314" s="5">
        <f>ROUND(Q314*J314/K314*O314/100,10)</f>
        <v>700</v>
      </c>
      <c r="T314" s="5">
        <f>ROUND(R314*J314/K314*O314/100,10)</f>
        <v>600</v>
      </c>
      <c r="U314" s="5" t="n">
        <v>1400</v>
      </c>
      <c r="V314" s="5" t="n">
        <v>1200</v>
      </c>
    </row>
    <row r="315" ht="20" customHeight="1">
      <c r="A315" s="10" t="n">
        <v>1201653</v>
      </c>
      <c r="B315" s="11" t="inlineStr">
        <is>
          <t>جعبه الکترونیکی مونتاژ ماشینی شده BCMi/SBMi_P207_SOREN_ARISUN Top</t>
        </is>
      </c>
      <c r="C315" s="11" t="inlineStr">
        <is>
          <t>13416020224</t>
        </is>
      </c>
      <c r="D315" s="11" t="inlineStr">
        <is>
          <t>1405/06/10</t>
        </is>
      </c>
      <c r="E315" s="13" t="n"/>
      <c r="F315" s="10" t="n">
        <v>28622</v>
      </c>
      <c r="G315" s="10" t="n">
        <v>1110180</v>
      </c>
      <c r="H315" s="11" t="inlineStr">
        <is>
          <t>Resistor 100k, 5%, 1/10w, 0603</t>
        </is>
      </c>
      <c r="I315" s="11" t="inlineStr">
        <is>
          <t>عدد</t>
        </is>
      </c>
      <c r="J315" s="10" t="n">
        <v>1</v>
      </c>
      <c r="K315" s="10" t="n">
        <v>1</v>
      </c>
      <c r="L315" s="11" t="inlineStr">
        <is>
          <t>14</t>
        </is>
      </c>
      <c r="M315" s="10" t="n">
        <v>2</v>
      </c>
      <c r="N315" s="10" t="n">
        <v>50</v>
      </c>
      <c r="O315" s="10">
        <f>N315</f>
        <v>50</v>
      </c>
      <c r="P315" s="11" t="inlineStr">
        <is>
          <t>سهم درصد استفاده BOM</t>
        </is>
      </c>
      <c r="Q315" s="10">
        <f>SUMIFS('ورودی برنامه'!$D$4:$D$16,'ورودی برنامه'!$A$4:$A$16,A315,'ورودی برنامه'!$C$4:$C$16,C315)</f>
        <v>1400</v>
      </c>
      <c r="R315" s="10">
        <f>SUMIFS('ورودی برنامه'!$E$4:$E$16,'ورودی برنامه'!$A$4:$A$16,A315,'ورودی برنامه'!$C$4:$C$16,C315)</f>
        <v>1200</v>
      </c>
      <c r="S315" s="10">
        <f>ROUND(Q315*J315/K315*O315/100,10)</f>
        <v>700</v>
      </c>
      <c r="T315" s="10">
        <f>ROUND(R315*J315/K315*O315/100,10)</f>
        <v>600</v>
      </c>
      <c r="U315" s="10" t="n">
        <v>0</v>
      </c>
      <c r="V315" s="10" t="n">
        <v>0</v>
      </c>
    </row>
    <row r="316" ht="20" customHeight="1">
      <c r="A316" s="5" t="n">
        <v>1201653</v>
      </c>
      <c r="B316" s="6" t="inlineStr">
        <is>
          <t>جعبه الکترونیکی مونتاژ ماشینی شده BCMi/SBMi_P207_SOREN_ARISUN Top</t>
        </is>
      </c>
      <c r="C316" s="6" t="inlineStr">
        <is>
          <t>13416020224</t>
        </is>
      </c>
      <c r="D316" s="6" t="inlineStr">
        <is>
          <t>1405/06/10</t>
        </is>
      </c>
      <c r="E316" s="9" t="n"/>
      <c r="F316" s="5" t="n">
        <v>28953</v>
      </c>
      <c r="G316" s="5" t="n">
        <v>1110920</v>
      </c>
      <c r="H316" s="6" t="inlineStr">
        <is>
          <t>Diode US1M</t>
        </is>
      </c>
      <c r="I316" s="6" t="inlineStr">
        <is>
          <t>عدد</t>
        </is>
      </c>
      <c r="J316" s="5" t="n">
        <v>5</v>
      </c>
      <c r="K316" s="5" t="n">
        <v>1</v>
      </c>
      <c r="L316" s="6" t="inlineStr">
        <is>
          <t>-</t>
        </is>
      </c>
      <c r="M316" s="9" t="n"/>
      <c r="N316" s="9" t="n"/>
      <c r="O316" s="5" t="n">
        <v>100</v>
      </c>
      <c r="P316" s="6" t="inlineStr">
        <is>
          <t>مصرف مستقیم</t>
        </is>
      </c>
      <c r="Q316" s="5">
        <f>SUMIFS('ورودی برنامه'!$D$4:$D$16,'ورودی برنامه'!$A$4:$A$16,A316,'ورودی برنامه'!$C$4:$C$16,C316)</f>
        <v>1400</v>
      </c>
      <c r="R316" s="5">
        <f>SUMIFS('ورودی برنامه'!$E$4:$E$16,'ورودی برنامه'!$A$4:$A$16,A316,'ورودی برنامه'!$C$4:$C$16,C316)</f>
        <v>1200</v>
      </c>
      <c r="S316" s="5">
        <f>ROUND(Q316*J316/K316*O316/100,10)</f>
        <v>7000</v>
      </c>
      <c r="T316" s="5">
        <f>ROUND(R316*J316/K316*O316/100,10)</f>
        <v>6000</v>
      </c>
      <c r="U316" s="5" t="n">
        <v>7000</v>
      </c>
      <c r="V316" s="5" t="n">
        <v>6000</v>
      </c>
    </row>
    <row r="317" ht="20" customHeight="1">
      <c r="A317" s="10" t="n">
        <v>1201653</v>
      </c>
      <c r="B317" s="11" t="inlineStr">
        <is>
          <t>جعبه الکترونیکی مونتاژ ماشینی شده BCMi/SBMi_P207_SOREN_ARISUN Top</t>
        </is>
      </c>
      <c r="C317" s="11" t="inlineStr">
        <is>
          <t>13416020224</t>
        </is>
      </c>
      <c r="D317" s="11" t="inlineStr">
        <is>
          <t>1405/06/10</t>
        </is>
      </c>
      <c r="E317" s="13" t="n"/>
      <c r="F317" s="10" t="n">
        <v>29223</v>
      </c>
      <c r="G317" s="10" t="n">
        <v>1110274</v>
      </c>
      <c r="H317" s="11" t="inlineStr">
        <is>
          <t>Resistor 0 ,5%,1/10W</t>
        </is>
      </c>
      <c r="I317" s="11" t="inlineStr">
        <is>
          <t>عدد</t>
        </is>
      </c>
      <c r="J317" s="10" t="n">
        <v>3</v>
      </c>
      <c r="K317" s="10" t="n">
        <v>1</v>
      </c>
      <c r="L317" s="11" t="inlineStr">
        <is>
          <t>3</t>
        </is>
      </c>
      <c r="M317" s="10" t="n">
        <v>1</v>
      </c>
      <c r="N317" s="10" t="n">
        <v>50</v>
      </c>
      <c r="O317" s="10">
        <f>N317</f>
        <v>50</v>
      </c>
      <c r="P317" s="11" t="inlineStr">
        <is>
          <t>سهم درصد استفاده BOM</t>
        </is>
      </c>
      <c r="Q317" s="10">
        <f>SUMIFS('ورودی برنامه'!$D$4:$D$16,'ورودی برنامه'!$A$4:$A$16,A317,'ورودی برنامه'!$C$4:$C$16,C317)</f>
        <v>1400</v>
      </c>
      <c r="R317" s="10">
        <f>SUMIFS('ورودی برنامه'!$E$4:$E$16,'ورودی برنامه'!$A$4:$A$16,A317,'ورودی برنامه'!$C$4:$C$16,C317)</f>
        <v>1200</v>
      </c>
      <c r="S317" s="10">
        <f>ROUND(Q317*J317/K317*O317/100,10)</f>
        <v>2100</v>
      </c>
      <c r="T317" s="10">
        <f>ROUND(R317*J317/K317*O317/100,10)</f>
        <v>1800</v>
      </c>
      <c r="U317" s="10" t="n">
        <v>4200</v>
      </c>
      <c r="V317" s="10" t="n">
        <v>3600</v>
      </c>
    </row>
    <row r="318" ht="20" customHeight="1">
      <c r="A318" s="5" t="n">
        <v>1201653</v>
      </c>
      <c r="B318" s="6" t="inlineStr">
        <is>
          <t>جعبه الکترونیکی مونتاژ ماشینی شده BCMi/SBMi_P207_SOREN_ARISUN Top</t>
        </is>
      </c>
      <c r="C318" s="6" t="inlineStr">
        <is>
          <t>13416020224</t>
        </is>
      </c>
      <c r="D318" s="6" t="inlineStr">
        <is>
          <t>1405/06/10</t>
        </is>
      </c>
      <c r="E318" s="9" t="n"/>
      <c r="F318" s="5" t="n">
        <v>29337</v>
      </c>
      <c r="G318" s="5" t="n">
        <v>1110277</v>
      </c>
      <c r="H318" s="6" t="inlineStr">
        <is>
          <t>Resistor 0,5%,1/4w (3216(1206</t>
        </is>
      </c>
      <c r="I318" s="6" t="inlineStr">
        <is>
          <t>عدد</t>
        </is>
      </c>
      <c r="J318" s="5" t="n">
        <v>1</v>
      </c>
      <c r="K318" s="5" t="n">
        <v>1</v>
      </c>
      <c r="L318" s="6" t="inlineStr">
        <is>
          <t>-</t>
        </is>
      </c>
      <c r="M318" s="9" t="n"/>
      <c r="N318" s="9" t="n"/>
      <c r="O318" s="5" t="n">
        <v>100</v>
      </c>
      <c r="P318" s="6" t="inlineStr">
        <is>
          <t>مصرف مستقیم</t>
        </is>
      </c>
      <c r="Q318" s="5">
        <f>SUMIFS('ورودی برنامه'!$D$4:$D$16,'ورودی برنامه'!$A$4:$A$16,A318,'ورودی برنامه'!$C$4:$C$16,C318)</f>
        <v>1400</v>
      </c>
      <c r="R318" s="5">
        <f>SUMIFS('ورودی برنامه'!$E$4:$E$16,'ورودی برنامه'!$A$4:$A$16,A318,'ورودی برنامه'!$C$4:$C$16,C318)</f>
        <v>1200</v>
      </c>
      <c r="S318" s="5">
        <f>ROUND(Q318*J318/K318*O318/100,10)</f>
        <v>1400</v>
      </c>
      <c r="T318" s="5">
        <f>ROUND(R318*J318/K318*O318/100,10)</f>
        <v>1200</v>
      </c>
      <c r="U318" s="5" t="n">
        <v>1400</v>
      </c>
      <c r="V318" s="5" t="n">
        <v>1200</v>
      </c>
    </row>
    <row r="319" ht="20" customHeight="1">
      <c r="A319" s="10" t="n">
        <v>1201653</v>
      </c>
      <c r="B319" s="11" t="inlineStr">
        <is>
          <t>جعبه الکترونیکی مونتاژ ماشینی شده BCMi/SBMi_P207_SOREN_ARISUN Top</t>
        </is>
      </c>
      <c r="C319" s="11" t="inlineStr">
        <is>
          <t>13416020224</t>
        </is>
      </c>
      <c r="D319" s="11" t="inlineStr">
        <is>
          <t>1405/06/10</t>
        </is>
      </c>
      <c r="E319" s="13" t="n"/>
      <c r="F319" s="10" t="n">
        <v>29667</v>
      </c>
      <c r="G319" s="10" t="n">
        <v>1110746</v>
      </c>
      <c r="H319" s="11" t="inlineStr">
        <is>
          <t>Resistor 0 ,5%,1W</t>
        </is>
      </c>
      <c r="I319" s="11" t="inlineStr">
        <is>
          <t>عدد</t>
        </is>
      </c>
      <c r="J319" s="10" t="n">
        <v>3</v>
      </c>
      <c r="K319" s="10" t="n">
        <v>1</v>
      </c>
      <c r="L319" s="11" t="inlineStr">
        <is>
          <t>3</t>
        </is>
      </c>
      <c r="M319" s="10" t="n">
        <v>2</v>
      </c>
      <c r="N319" s="10" t="n">
        <v>50</v>
      </c>
      <c r="O319" s="10">
        <f>N319</f>
        <v>50</v>
      </c>
      <c r="P319" s="11" t="inlineStr">
        <is>
          <t>سهم درصد استفاده BOM</t>
        </is>
      </c>
      <c r="Q319" s="10">
        <f>SUMIFS('ورودی برنامه'!$D$4:$D$16,'ورودی برنامه'!$A$4:$A$16,A319,'ورودی برنامه'!$C$4:$C$16,C319)</f>
        <v>1400</v>
      </c>
      <c r="R319" s="10">
        <f>SUMIFS('ورودی برنامه'!$E$4:$E$16,'ورودی برنامه'!$A$4:$A$16,A319,'ورودی برنامه'!$C$4:$C$16,C319)</f>
        <v>1200</v>
      </c>
      <c r="S319" s="10">
        <f>ROUND(Q319*J319/K319*O319/100,10)</f>
        <v>2100</v>
      </c>
      <c r="T319" s="10">
        <f>ROUND(R319*J319/K319*O319/100,10)</f>
        <v>1800</v>
      </c>
      <c r="U319" s="10" t="n">
        <v>0</v>
      </c>
      <c r="V319" s="10" t="n">
        <v>0</v>
      </c>
    </row>
    <row r="320" ht="20" customHeight="1">
      <c r="A320" s="5" t="n">
        <v>1201653</v>
      </c>
      <c r="B320" s="6" t="inlineStr">
        <is>
          <t>جعبه الکترونیکی مونتاژ ماشینی شده BCMi/SBMi_P207_SOREN_ARISUN Top</t>
        </is>
      </c>
      <c r="C320" s="6" t="inlineStr">
        <is>
          <t>13416020224</t>
        </is>
      </c>
      <c r="D320" s="6" t="inlineStr">
        <is>
          <t>1405/06/10</t>
        </is>
      </c>
      <c r="E320" s="9" t="n"/>
      <c r="F320" s="5" t="n">
        <v>29893</v>
      </c>
      <c r="G320" s="5" t="n">
        <v>1110132</v>
      </c>
      <c r="H320" s="6" t="inlineStr">
        <is>
          <t>Capacitor 1nF,X7R,50V,10% (3003864</t>
        </is>
      </c>
      <c r="I320" s="6" t="inlineStr">
        <is>
          <t>عدد</t>
        </is>
      </c>
      <c r="J320" s="5" t="n">
        <v>3</v>
      </c>
      <c r="K320" s="5" t="n">
        <v>1</v>
      </c>
      <c r="L320" s="6" t="inlineStr">
        <is>
          <t>-</t>
        </is>
      </c>
      <c r="M320" s="9" t="n"/>
      <c r="N320" s="9" t="n"/>
      <c r="O320" s="5" t="n">
        <v>100</v>
      </c>
      <c r="P320" s="6" t="inlineStr">
        <is>
          <t>مصرف مستقیم</t>
        </is>
      </c>
      <c r="Q320" s="5">
        <f>SUMIFS('ورودی برنامه'!$D$4:$D$16,'ورودی برنامه'!$A$4:$A$16,A320,'ورودی برنامه'!$C$4:$C$16,C320)</f>
        <v>1400</v>
      </c>
      <c r="R320" s="5">
        <f>SUMIFS('ورودی برنامه'!$E$4:$E$16,'ورودی برنامه'!$A$4:$A$16,A320,'ورودی برنامه'!$C$4:$C$16,C320)</f>
        <v>1200</v>
      </c>
      <c r="S320" s="5">
        <f>ROUND(Q320*J320/K320*O320/100,10)</f>
        <v>4200</v>
      </c>
      <c r="T320" s="5">
        <f>ROUND(R320*J320/K320*O320/100,10)</f>
        <v>3600</v>
      </c>
      <c r="U320" s="5" t="n">
        <v>4200</v>
      </c>
      <c r="V320" s="5" t="n">
        <v>3600</v>
      </c>
    </row>
    <row r="321" ht="20" customHeight="1">
      <c r="A321" s="10" t="n">
        <v>1201653</v>
      </c>
      <c r="B321" s="11" t="inlineStr">
        <is>
          <t>جعبه الکترونیکی مونتاژ ماشینی شده BCMi/SBMi_P207_SOREN_ARISUN Top</t>
        </is>
      </c>
      <c r="C321" s="11" t="inlineStr">
        <is>
          <t>13416020224</t>
        </is>
      </c>
      <c r="D321" s="11" t="inlineStr">
        <is>
          <t>1405/06/10</t>
        </is>
      </c>
      <c r="E321" s="13" t="n"/>
      <c r="F321" s="10" t="n">
        <v>30029</v>
      </c>
      <c r="G321" s="10" t="n">
        <v>1110135</v>
      </c>
      <c r="H321" s="11" t="inlineStr">
        <is>
          <t>Capacitor 1uF,16V,10%,X7R(3008118</t>
        </is>
      </c>
      <c r="I321" s="11" t="inlineStr">
        <is>
          <t>عدد</t>
        </is>
      </c>
      <c r="J321" s="10" t="n">
        <v>2</v>
      </c>
      <c r="K321" s="10" t="n">
        <v>1</v>
      </c>
      <c r="L321" s="11" t="inlineStr">
        <is>
          <t>-</t>
        </is>
      </c>
      <c r="M321" s="13" t="n"/>
      <c r="N321" s="13" t="n"/>
      <c r="O321" s="10" t="n">
        <v>100</v>
      </c>
      <c r="P321" s="11" t="inlineStr">
        <is>
          <t>مصرف مستقیم</t>
        </is>
      </c>
      <c r="Q321" s="10">
        <f>SUMIFS('ورودی برنامه'!$D$4:$D$16,'ورودی برنامه'!$A$4:$A$16,A321,'ورودی برنامه'!$C$4:$C$16,C321)</f>
        <v>1400</v>
      </c>
      <c r="R321" s="10">
        <f>SUMIFS('ورودی برنامه'!$E$4:$E$16,'ورودی برنامه'!$A$4:$A$16,A321,'ورودی برنامه'!$C$4:$C$16,C321)</f>
        <v>1200</v>
      </c>
      <c r="S321" s="10">
        <f>ROUND(Q321*J321/K321*O321/100,10)</f>
        <v>2800</v>
      </c>
      <c r="T321" s="10">
        <f>ROUND(R321*J321/K321*O321/100,10)</f>
        <v>2400</v>
      </c>
      <c r="U321" s="10" t="n">
        <v>2800</v>
      </c>
      <c r="V321" s="10" t="n">
        <v>2400</v>
      </c>
    </row>
    <row r="322" ht="20" customHeight="1">
      <c r="A322" s="5" t="n">
        <v>1201653</v>
      </c>
      <c r="B322" s="6" t="inlineStr">
        <is>
          <t>جعبه الکترونیکی مونتاژ ماشینی شده BCMi/SBMi_P207_SOREN_ARISUN Top</t>
        </is>
      </c>
      <c r="C322" s="6" t="inlineStr">
        <is>
          <t>13416020224</t>
        </is>
      </c>
      <c r="D322" s="6" t="inlineStr">
        <is>
          <t>1405/06/10</t>
        </is>
      </c>
      <c r="E322" s="9" t="n"/>
      <c r="F322" s="5" t="n">
        <v>30118</v>
      </c>
      <c r="G322" s="5" t="n">
        <v>1110127</v>
      </c>
      <c r="H322" s="6" t="inlineStr">
        <is>
          <t>Capacitor 10PF,50V,5%,C0G</t>
        </is>
      </c>
      <c r="I322" s="6" t="inlineStr">
        <is>
          <t>عدد</t>
        </is>
      </c>
      <c r="J322" s="5" t="n">
        <v>2</v>
      </c>
      <c r="K322" s="5" t="n">
        <v>1</v>
      </c>
      <c r="L322" s="6" t="inlineStr">
        <is>
          <t>15</t>
        </is>
      </c>
      <c r="M322" s="5" t="n">
        <v>2</v>
      </c>
      <c r="N322" s="5" t="n">
        <v>50</v>
      </c>
      <c r="O322" s="5">
        <f>N322</f>
        <v>50</v>
      </c>
      <c r="P322" s="6" t="inlineStr">
        <is>
          <t>سهم درصد استفاده BOM</t>
        </is>
      </c>
      <c r="Q322" s="5">
        <f>SUMIFS('ورودی برنامه'!$D$4:$D$16,'ورودی برنامه'!$A$4:$A$16,A322,'ورودی برنامه'!$C$4:$C$16,C322)</f>
        <v>1400</v>
      </c>
      <c r="R322" s="5">
        <f>SUMIFS('ورودی برنامه'!$E$4:$E$16,'ورودی برنامه'!$A$4:$A$16,A322,'ورودی برنامه'!$C$4:$C$16,C322)</f>
        <v>1200</v>
      </c>
      <c r="S322" s="5">
        <f>ROUND(Q322*J322/K322*O322/100,10)</f>
        <v>1400</v>
      </c>
      <c r="T322" s="5">
        <f>ROUND(R322*J322/K322*O322/100,10)</f>
        <v>1200</v>
      </c>
      <c r="U322" s="5" t="n">
        <v>0</v>
      </c>
      <c r="V322" s="5" t="n">
        <v>0</v>
      </c>
    </row>
    <row r="323" ht="20" customHeight="1">
      <c r="A323" s="10" t="n">
        <v>1201653</v>
      </c>
      <c r="B323" s="11" t="inlineStr">
        <is>
          <t>جعبه الکترونیکی مونتاژ ماشینی شده BCMi/SBMi_P207_SOREN_ARISUN Top</t>
        </is>
      </c>
      <c r="C323" s="11" t="inlineStr">
        <is>
          <t>13416020224</t>
        </is>
      </c>
      <c r="D323" s="11" t="inlineStr">
        <is>
          <t>1405/06/10</t>
        </is>
      </c>
      <c r="E323" s="13" t="n"/>
      <c r="F323" s="10" t="n">
        <v>30654</v>
      </c>
      <c r="G323" s="10" t="n">
        <v>1110131</v>
      </c>
      <c r="H323" s="11" t="inlineStr">
        <is>
          <t>Capacitor 1nF,50V,10%,X7R(3008128</t>
        </is>
      </c>
      <c r="I323" s="11" t="inlineStr">
        <is>
          <t>عدد</t>
        </is>
      </c>
      <c r="J323" s="10" t="n">
        <v>1</v>
      </c>
      <c r="K323" s="10" t="n">
        <v>1</v>
      </c>
      <c r="L323" s="11" t="inlineStr">
        <is>
          <t>-</t>
        </is>
      </c>
      <c r="M323" s="13" t="n"/>
      <c r="N323" s="13" t="n"/>
      <c r="O323" s="10" t="n">
        <v>100</v>
      </c>
      <c r="P323" s="11" t="inlineStr">
        <is>
          <t>مصرف مستقیم</t>
        </is>
      </c>
      <c r="Q323" s="10">
        <f>SUMIFS('ورودی برنامه'!$D$4:$D$16,'ورودی برنامه'!$A$4:$A$16,A323,'ورودی برنامه'!$C$4:$C$16,C323)</f>
        <v>1400</v>
      </c>
      <c r="R323" s="10">
        <f>SUMIFS('ورودی برنامه'!$E$4:$E$16,'ورودی برنامه'!$A$4:$A$16,A323,'ورودی برنامه'!$C$4:$C$16,C323)</f>
        <v>1200</v>
      </c>
      <c r="S323" s="10">
        <f>ROUND(Q323*J323/K323*O323/100,10)</f>
        <v>1400</v>
      </c>
      <c r="T323" s="10">
        <f>ROUND(R323*J323/K323*O323/100,10)</f>
        <v>1200</v>
      </c>
      <c r="U323" s="10" t="n">
        <v>1400</v>
      </c>
      <c r="V323" s="10" t="n">
        <v>1200</v>
      </c>
    </row>
    <row r="324" ht="20" customHeight="1">
      <c r="A324" s="5" t="n">
        <v>1201653</v>
      </c>
      <c r="B324" s="6" t="inlineStr">
        <is>
          <t>جعبه الکترونیکی مونتاژ ماشینی شده BCMi/SBMi_P207_SOREN_ARISUN Top</t>
        </is>
      </c>
      <c r="C324" s="6" t="inlineStr">
        <is>
          <t>13416020224</t>
        </is>
      </c>
      <c r="D324" s="6" t="inlineStr">
        <is>
          <t>1405/06/10</t>
        </is>
      </c>
      <c r="E324" s="9" t="n"/>
      <c r="F324" s="5" t="n">
        <v>30792</v>
      </c>
      <c r="G324" s="5" t="n">
        <v>1110727</v>
      </c>
      <c r="H324" s="6" t="inlineStr">
        <is>
          <t>Resistor 33K,5%,1/10W</t>
        </is>
      </c>
      <c r="I324" s="6" t="inlineStr">
        <is>
          <t>عدد</t>
        </is>
      </c>
      <c r="J324" s="5" t="n">
        <v>1</v>
      </c>
      <c r="K324" s="5" t="n">
        <v>1</v>
      </c>
      <c r="L324" s="6" t="inlineStr">
        <is>
          <t>-</t>
        </is>
      </c>
      <c r="M324" s="9" t="n"/>
      <c r="N324" s="9" t="n"/>
      <c r="O324" s="5" t="n">
        <v>100</v>
      </c>
      <c r="P324" s="6" t="inlineStr">
        <is>
          <t>مصرف مستقیم</t>
        </is>
      </c>
      <c r="Q324" s="5">
        <f>SUMIFS('ورودی برنامه'!$D$4:$D$16,'ورودی برنامه'!$A$4:$A$16,A324,'ورودی برنامه'!$C$4:$C$16,C324)</f>
        <v>1400</v>
      </c>
      <c r="R324" s="5">
        <f>SUMIFS('ورودی برنامه'!$E$4:$E$16,'ورودی برنامه'!$A$4:$A$16,A324,'ورودی برنامه'!$C$4:$C$16,C324)</f>
        <v>1200</v>
      </c>
      <c r="S324" s="5">
        <f>ROUND(Q324*J324/K324*O324/100,10)</f>
        <v>1400</v>
      </c>
      <c r="T324" s="5">
        <f>ROUND(R324*J324/K324*O324/100,10)</f>
        <v>1200</v>
      </c>
      <c r="U324" s="5" t="n">
        <v>1400</v>
      </c>
      <c r="V324" s="5" t="n">
        <v>1200</v>
      </c>
    </row>
    <row r="325" ht="20" customHeight="1">
      <c r="A325" s="10" t="n">
        <v>1201653</v>
      </c>
      <c r="B325" s="11" t="inlineStr">
        <is>
          <t>جعبه الکترونیکی مونتاژ ماشینی شده BCMi/SBMi_P207_SOREN_ARISUN Top</t>
        </is>
      </c>
      <c r="C325" s="11" t="inlineStr">
        <is>
          <t>13416020224</t>
        </is>
      </c>
      <c r="D325" s="11" t="inlineStr">
        <is>
          <t>1405/06/10</t>
        </is>
      </c>
      <c r="E325" s="13" t="n"/>
      <c r="F325" s="10" t="n">
        <v>30830</v>
      </c>
      <c r="G325" s="10" t="n">
        <v>1110703</v>
      </c>
      <c r="H325" s="11" t="inlineStr">
        <is>
          <t>Resistor 10K,5%,1/10W(3008146</t>
        </is>
      </c>
      <c r="I325" s="11" t="inlineStr">
        <is>
          <t>عدد</t>
        </is>
      </c>
      <c r="J325" s="10" t="n">
        <v>4</v>
      </c>
      <c r="K325" s="10" t="n">
        <v>1</v>
      </c>
      <c r="L325" s="11" t="inlineStr">
        <is>
          <t>-</t>
        </is>
      </c>
      <c r="M325" s="13" t="n"/>
      <c r="N325" s="13" t="n"/>
      <c r="O325" s="10" t="n">
        <v>100</v>
      </c>
      <c r="P325" s="11" t="inlineStr">
        <is>
          <t>مصرف مستقیم</t>
        </is>
      </c>
      <c r="Q325" s="10">
        <f>SUMIFS('ورودی برنامه'!$D$4:$D$16,'ورودی برنامه'!$A$4:$A$16,A325,'ورودی برنامه'!$C$4:$C$16,C325)</f>
        <v>1400</v>
      </c>
      <c r="R325" s="10">
        <f>SUMIFS('ورودی برنامه'!$E$4:$E$16,'ورودی برنامه'!$A$4:$A$16,A325,'ورودی برنامه'!$C$4:$C$16,C325)</f>
        <v>1200</v>
      </c>
      <c r="S325" s="10">
        <f>ROUND(Q325*J325/K325*O325/100,10)</f>
        <v>5600</v>
      </c>
      <c r="T325" s="10">
        <f>ROUND(R325*J325/K325*O325/100,10)</f>
        <v>4800</v>
      </c>
      <c r="U325" s="10" t="n">
        <v>5600</v>
      </c>
      <c r="V325" s="10" t="n">
        <v>4800</v>
      </c>
    </row>
    <row r="326" ht="20" customHeight="1">
      <c r="A326" s="5" t="n">
        <v>1201653</v>
      </c>
      <c r="B326" s="6" t="inlineStr">
        <is>
          <t>جعبه الکترونیکی مونتاژ ماشینی شده BCMi/SBMi_P207_SOREN_ARISUN Top</t>
        </is>
      </c>
      <c r="C326" s="6" t="inlineStr">
        <is>
          <t>13416020224</t>
        </is>
      </c>
      <c r="D326" s="6" t="inlineStr">
        <is>
          <t>1405/06/10</t>
        </is>
      </c>
      <c r="E326" s="9" t="n"/>
      <c r="F326" s="5" t="n">
        <v>31091</v>
      </c>
      <c r="G326" s="5" t="n">
        <v>1110194</v>
      </c>
      <c r="H326" s="6" t="inlineStr">
        <is>
          <t>Resistor 100,1%,1/10W</t>
        </is>
      </c>
      <c r="I326" s="6" t="inlineStr">
        <is>
          <t>عدد</t>
        </is>
      </c>
      <c r="J326" s="5" t="n">
        <v>7</v>
      </c>
      <c r="K326" s="5" t="n">
        <v>1</v>
      </c>
      <c r="L326" s="6" t="inlineStr">
        <is>
          <t>16</t>
        </is>
      </c>
      <c r="M326" s="5" t="n">
        <v>2</v>
      </c>
      <c r="N326" s="5" t="n">
        <v>50</v>
      </c>
      <c r="O326" s="5">
        <f>N326</f>
        <v>50</v>
      </c>
      <c r="P326" s="6" t="inlineStr">
        <is>
          <t>سهم درصد استفاده BOM</t>
        </is>
      </c>
      <c r="Q326" s="5">
        <f>SUMIFS('ورودی برنامه'!$D$4:$D$16,'ورودی برنامه'!$A$4:$A$16,A326,'ورودی برنامه'!$C$4:$C$16,C326)</f>
        <v>1400</v>
      </c>
      <c r="R326" s="5">
        <f>SUMIFS('ورودی برنامه'!$E$4:$E$16,'ورودی برنامه'!$A$4:$A$16,A326,'ورودی برنامه'!$C$4:$C$16,C326)</f>
        <v>1200</v>
      </c>
      <c r="S326" s="5">
        <f>ROUND(Q326*J326/K326*O326/100,10)</f>
        <v>4900</v>
      </c>
      <c r="T326" s="5">
        <f>ROUND(R326*J326/K326*O326/100,10)</f>
        <v>4200</v>
      </c>
      <c r="U326" s="5" t="n">
        <v>0</v>
      </c>
      <c r="V326" s="5" t="n">
        <v>0</v>
      </c>
    </row>
    <row r="327" ht="20" customHeight="1">
      <c r="A327" s="10" t="n">
        <v>1201653</v>
      </c>
      <c r="B327" s="11" t="inlineStr">
        <is>
          <t>جعبه الکترونیکی مونتاژ ماشینی شده BCMi/SBMi_P207_SOREN_ARISUN Top</t>
        </is>
      </c>
      <c r="C327" s="11" t="inlineStr">
        <is>
          <t>13416020224</t>
        </is>
      </c>
      <c r="D327" s="11" t="inlineStr">
        <is>
          <t>1405/06/10</t>
        </is>
      </c>
      <c r="E327" s="13" t="n"/>
      <c r="F327" s="10" t="n">
        <v>31248</v>
      </c>
      <c r="G327" s="10" t="n">
        <v>1110707</v>
      </c>
      <c r="H327" s="11" t="inlineStr">
        <is>
          <t>Resistor 1K,5%,1/10W</t>
        </is>
      </c>
      <c r="I327" s="11" t="inlineStr">
        <is>
          <t>عدد</t>
        </is>
      </c>
      <c r="J327" s="10" t="n">
        <v>2</v>
      </c>
      <c r="K327" s="10" t="n">
        <v>1</v>
      </c>
      <c r="L327" s="11" t="inlineStr">
        <is>
          <t>-</t>
        </is>
      </c>
      <c r="M327" s="13" t="n"/>
      <c r="N327" s="13" t="n"/>
      <c r="O327" s="10" t="n">
        <v>100</v>
      </c>
      <c r="P327" s="11" t="inlineStr">
        <is>
          <t>مصرف مستقیم</t>
        </is>
      </c>
      <c r="Q327" s="10">
        <f>SUMIFS('ورودی برنامه'!$D$4:$D$16,'ورودی برنامه'!$A$4:$A$16,A327,'ورودی برنامه'!$C$4:$C$16,C327)</f>
        <v>1400</v>
      </c>
      <c r="R327" s="10">
        <f>SUMIFS('ورودی برنامه'!$E$4:$E$16,'ورودی برنامه'!$A$4:$A$16,A327,'ورودی برنامه'!$C$4:$C$16,C327)</f>
        <v>1200</v>
      </c>
      <c r="S327" s="10">
        <f>ROUND(Q327*J327/K327*O327/100,10)</f>
        <v>2800</v>
      </c>
      <c r="T327" s="10">
        <f>ROUND(R327*J327/K327*O327/100,10)</f>
        <v>2400</v>
      </c>
      <c r="U327" s="10" t="n">
        <v>2800</v>
      </c>
      <c r="V327" s="10" t="n">
        <v>2400</v>
      </c>
    </row>
    <row r="328" ht="20" customHeight="1">
      <c r="A328" s="5" t="n">
        <v>1201653</v>
      </c>
      <c r="B328" s="6" t="inlineStr">
        <is>
          <t>جعبه الکترونیکی مونتاژ ماشینی شده BCMi/SBMi_P207_SOREN_ARISUN Top</t>
        </is>
      </c>
      <c r="C328" s="6" t="inlineStr">
        <is>
          <t>13416020224</t>
        </is>
      </c>
      <c r="D328" s="6" t="inlineStr">
        <is>
          <t>1405/06/10</t>
        </is>
      </c>
      <c r="E328" s="9" t="n"/>
      <c r="F328" s="5" t="n">
        <v>31355</v>
      </c>
      <c r="G328" s="5" t="n">
        <v>1110199</v>
      </c>
      <c r="H328" s="6" t="inlineStr">
        <is>
          <t>Resistor 100, 5%, 1/16w</t>
        </is>
      </c>
      <c r="I328" s="6" t="inlineStr">
        <is>
          <t>عدد</t>
        </is>
      </c>
      <c r="J328" s="5" t="n">
        <v>2</v>
      </c>
      <c r="K328" s="5" t="n">
        <v>1</v>
      </c>
      <c r="L328" s="6" t="inlineStr">
        <is>
          <t>-</t>
        </is>
      </c>
      <c r="M328" s="9" t="n"/>
      <c r="N328" s="9" t="n"/>
      <c r="O328" s="5" t="n">
        <v>100</v>
      </c>
      <c r="P328" s="6" t="inlineStr">
        <is>
          <t>مصرف مستقیم</t>
        </is>
      </c>
      <c r="Q328" s="5">
        <f>SUMIFS('ورودی برنامه'!$D$4:$D$16,'ورودی برنامه'!$A$4:$A$16,A328,'ورودی برنامه'!$C$4:$C$16,C328)</f>
        <v>1400</v>
      </c>
      <c r="R328" s="5">
        <f>SUMIFS('ورودی برنامه'!$E$4:$E$16,'ورودی برنامه'!$A$4:$A$16,A328,'ورودی برنامه'!$C$4:$C$16,C328)</f>
        <v>1200</v>
      </c>
      <c r="S328" s="5">
        <f>ROUND(Q328*J328/K328*O328/100,10)</f>
        <v>2800</v>
      </c>
      <c r="T328" s="5">
        <f>ROUND(R328*J328/K328*O328/100,10)</f>
        <v>2400</v>
      </c>
      <c r="U328" s="5" t="n">
        <v>2800</v>
      </c>
      <c r="V328" s="5" t="n">
        <v>2400</v>
      </c>
    </row>
    <row r="329" ht="20" customHeight="1">
      <c r="A329" s="10" t="n">
        <v>1201653</v>
      </c>
      <c r="B329" s="11" t="inlineStr">
        <is>
          <t>جعبه الکترونیکی مونتاژ ماشینی شده BCMi/SBMi_P207_SOREN_ARISUN Top</t>
        </is>
      </c>
      <c r="C329" s="11" t="inlineStr">
        <is>
          <t>13416020224</t>
        </is>
      </c>
      <c r="D329" s="11" t="inlineStr">
        <is>
          <t>1405/06/10</t>
        </is>
      </c>
      <c r="E329" s="13" t="n"/>
      <c r="F329" s="10" t="n">
        <v>31386</v>
      </c>
      <c r="G329" s="10" t="n">
        <v>1110276</v>
      </c>
      <c r="H329" s="11" t="inlineStr">
        <is>
          <t>Resistor 0 ,5%,1/16W</t>
        </is>
      </c>
      <c r="I329" s="11" t="inlineStr">
        <is>
          <t>عدد</t>
        </is>
      </c>
      <c r="J329" s="10" t="n">
        <v>32</v>
      </c>
      <c r="K329" s="10" t="n">
        <v>1</v>
      </c>
      <c r="L329" s="11" t="inlineStr">
        <is>
          <t>-</t>
        </is>
      </c>
      <c r="M329" s="13" t="n"/>
      <c r="N329" s="13" t="n"/>
      <c r="O329" s="10" t="n">
        <v>100</v>
      </c>
      <c r="P329" s="11" t="inlineStr">
        <is>
          <t>مصرف مستقیم</t>
        </is>
      </c>
      <c r="Q329" s="10">
        <f>SUMIFS('ورودی برنامه'!$D$4:$D$16,'ورودی برنامه'!$A$4:$A$16,A329,'ورودی برنامه'!$C$4:$C$16,C329)</f>
        <v>1400</v>
      </c>
      <c r="R329" s="10">
        <f>SUMIFS('ورودی برنامه'!$E$4:$E$16,'ورودی برنامه'!$A$4:$A$16,A329,'ورودی برنامه'!$C$4:$C$16,C329)</f>
        <v>1200</v>
      </c>
      <c r="S329" s="10">
        <f>ROUND(Q329*J329/K329*O329/100,10)</f>
        <v>44800</v>
      </c>
      <c r="T329" s="10">
        <f>ROUND(R329*J329/K329*O329/100,10)</f>
        <v>38400</v>
      </c>
      <c r="U329" s="10" t="n">
        <v>44800</v>
      </c>
      <c r="V329" s="10" t="n">
        <v>38400</v>
      </c>
    </row>
    <row r="330" ht="20" customHeight="1">
      <c r="A330" s="5" t="n">
        <v>1201653</v>
      </c>
      <c r="B330" s="6" t="inlineStr">
        <is>
          <t>جعبه الکترونیکی مونتاژ ماشینی شده BCMi/SBMi_P207_SOREN_ARISUN Top</t>
        </is>
      </c>
      <c r="C330" s="6" t="inlineStr">
        <is>
          <t>13416020224</t>
        </is>
      </c>
      <c r="D330" s="6" t="inlineStr">
        <is>
          <t>1405/06/10</t>
        </is>
      </c>
      <c r="E330" s="9" t="n"/>
      <c r="F330" s="5" t="n">
        <v>31410</v>
      </c>
      <c r="G330" s="5" t="n">
        <v>1110118</v>
      </c>
      <c r="H330" s="6" t="inlineStr">
        <is>
          <t>Capacitor 100nF,50V,10%,X7R (3013617</t>
        </is>
      </c>
      <c r="I330" s="6" t="inlineStr">
        <is>
          <t>عدد</t>
        </is>
      </c>
      <c r="J330" s="5" t="n">
        <v>14</v>
      </c>
      <c r="K330" s="5" t="n">
        <v>1</v>
      </c>
      <c r="L330" s="6" t="inlineStr">
        <is>
          <t>-</t>
        </is>
      </c>
      <c r="M330" s="9" t="n"/>
      <c r="N330" s="9" t="n"/>
      <c r="O330" s="5" t="n">
        <v>100</v>
      </c>
      <c r="P330" s="6" t="inlineStr">
        <is>
          <t>مصرف مستقیم</t>
        </is>
      </c>
      <c r="Q330" s="5">
        <f>SUMIFS('ورودی برنامه'!$D$4:$D$16,'ورودی برنامه'!$A$4:$A$16,A330,'ورودی برنامه'!$C$4:$C$16,C330)</f>
        <v>1400</v>
      </c>
      <c r="R330" s="5">
        <f>SUMIFS('ورودی برنامه'!$E$4:$E$16,'ورودی برنامه'!$A$4:$A$16,A330,'ورودی برنامه'!$C$4:$C$16,C330)</f>
        <v>1200</v>
      </c>
      <c r="S330" s="5">
        <f>ROUND(Q330*J330/K330*O330/100,10)</f>
        <v>19600</v>
      </c>
      <c r="T330" s="5">
        <f>ROUND(R330*J330/K330*O330/100,10)</f>
        <v>16800</v>
      </c>
      <c r="U330" s="5" t="n">
        <v>19600</v>
      </c>
      <c r="V330" s="5" t="n">
        <v>16800</v>
      </c>
    </row>
    <row r="331" ht="20" customHeight="1">
      <c r="A331" s="10" t="n">
        <v>1201653</v>
      </c>
      <c r="B331" s="11" t="inlineStr">
        <is>
          <t>جعبه الکترونیکی مونتاژ ماشینی شده BCMi/SBMi_P207_SOREN_ARISUN Top</t>
        </is>
      </c>
      <c r="C331" s="11" t="inlineStr">
        <is>
          <t>13416020224</t>
        </is>
      </c>
      <c r="D331" s="11" t="inlineStr">
        <is>
          <t>1405/06/10</t>
        </is>
      </c>
      <c r="E331" s="13" t="n"/>
      <c r="F331" s="10" t="n">
        <v>31450</v>
      </c>
      <c r="G331" s="10" t="n">
        <v>1110128</v>
      </c>
      <c r="H331" s="11" t="inlineStr">
        <is>
          <t>Capacitor 10PF,50V,5%,X7R</t>
        </is>
      </c>
      <c r="I331" s="11" t="inlineStr">
        <is>
          <t>عدد</t>
        </is>
      </c>
      <c r="J331" s="10" t="n">
        <v>2</v>
      </c>
      <c r="K331" s="10" t="n">
        <v>1</v>
      </c>
      <c r="L331" s="11" t="inlineStr">
        <is>
          <t>15</t>
        </is>
      </c>
      <c r="M331" s="10" t="n">
        <v>1</v>
      </c>
      <c r="N331" s="10" t="n">
        <v>50</v>
      </c>
      <c r="O331" s="10">
        <f>N331</f>
        <v>50</v>
      </c>
      <c r="P331" s="11" t="inlineStr">
        <is>
          <t>سهم درصد استفاده BOM</t>
        </is>
      </c>
      <c r="Q331" s="10">
        <f>SUMIFS('ورودی برنامه'!$D$4:$D$16,'ورودی برنامه'!$A$4:$A$16,A331,'ورودی برنامه'!$C$4:$C$16,C331)</f>
        <v>1400</v>
      </c>
      <c r="R331" s="10">
        <f>SUMIFS('ورودی برنامه'!$E$4:$E$16,'ورودی برنامه'!$A$4:$A$16,A331,'ورودی برنامه'!$C$4:$C$16,C331)</f>
        <v>1200</v>
      </c>
      <c r="S331" s="10">
        <f>ROUND(Q331*J331/K331*O331/100,10)</f>
        <v>1400</v>
      </c>
      <c r="T331" s="10">
        <f>ROUND(R331*J331/K331*O331/100,10)</f>
        <v>1200</v>
      </c>
      <c r="U331" s="10" t="n">
        <v>2800</v>
      </c>
      <c r="V331" s="10" t="n">
        <v>2400</v>
      </c>
    </row>
    <row r="332" ht="20" customHeight="1">
      <c r="A332" s="5" t="n">
        <v>1201653</v>
      </c>
      <c r="B332" s="6" t="inlineStr">
        <is>
          <t>جعبه الکترونیکی مونتاژ ماشینی شده BCMi/SBMi_P207_SOREN_ARISUN Top</t>
        </is>
      </c>
      <c r="C332" s="6" t="inlineStr">
        <is>
          <t>13416020224</t>
        </is>
      </c>
      <c r="D332" s="6" t="inlineStr">
        <is>
          <t>1405/06/10</t>
        </is>
      </c>
      <c r="E332" s="9" t="n"/>
      <c r="F332" s="5" t="n">
        <v>31484</v>
      </c>
      <c r="G332" s="5" t="n">
        <v>1110700</v>
      </c>
      <c r="H332" s="6" t="inlineStr">
        <is>
          <t>Resistor 100K,5%,1/16W</t>
        </is>
      </c>
      <c r="I332" s="6" t="inlineStr">
        <is>
          <t>عدد</t>
        </is>
      </c>
      <c r="J332" s="5" t="n">
        <v>1</v>
      </c>
      <c r="K332" s="5" t="n">
        <v>1</v>
      </c>
      <c r="L332" s="6" t="inlineStr">
        <is>
          <t>14</t>
        </is>
      </c>
      <c r="M332" s="5" t="n">
        <v>1</v>
      </c>
      <c r="N332" s="5" t="n">
        <v>50</v>
      </c>
      <c r="O332" s="5">
        <f>N332</f>
        <v>50</v>
      </c>
      <c r="P332" s="6" t="inlineStr">
        <is>
          <t>سهم درصد استفاده BOM</t>
        </is>
      </c>
      <c r="Q332" s="5">
        <f>SUMIFS('ورودی برنامه'!$D$4:$D$16,'ورودی برنامه'!$A$4:$A$16,A332,'ورودی برنامه'!$C$4:$C$16,C332)</f>
        <v>1400</v>
      </c>
      <c r="R332" s="5">
        <f>SUMIFS('ورودی برنامه'!$E$4:$E$16,'ورودی برنامه'!$A$4:$A$16,A332,'ورودی برنامه'!$C$4:$C$16,C332)</f>
        <v>1200</v>
      </c>
      <c r="S332" s="5">
        <f>ROUND(Q332*J332/K332*O332/100,10)</f>
        <v>700</v>
      </c>
      <c r="T332" s="5">
        <f>ROUND(R332*J332/K332*O332/100,10)</f>
        <v>600</v>
      </c>
      <c r="U332" s="5" t="n">
        <v>1400</v>
      </c>
      <c r="V332" s="5" t="n">
        <v>1200</v>
      </c>
    </row>
    <row r="333" ht="20" customHeight="1">
      <c r="A333" s="10" t="n">
        <v>1201653</v>
      </c>
      <c r="B333" s="11" t="inlineStr">
        <is>
          <t>جعبه الکترونیکی مونتاژ ماشینی شده BCMi/SBMi_P207_SOREN_ARISUN Top</t>
        </is>
      </c>
      <c r="C333" s="11" t="inlineStr">
        <is>
          <t>13416020224</t>
        </is>
      </c>
      <c r="D333" s="11" t="inlineStr">
        <is>
          <t>1405/06/10</t>
        </is>
      </c>
      <c r="E333" s="13" t="n"/>
      <c r="F333" s="10" t="n">
        <v>31806</v>
      </c>
      <c r="G333" s="10" t="n">
        <v>1110142</v>
      </c>
      <c r="H333" s="11" t="inlineStr">
        <is>
          <t>Capacitor 22nF,50V,10%,X7R</t>
        </is>
      </c>
      <c r="I333" s="11" t="inlineStr">
        <is>
          <t>عدد</t>
        </is>
      </c>
      <c r="J333" s="10" t="n">
        <v>2</v>
      </c>
      <c r="K333" s="10" t="n">
        <v>1</v>
      </c>
      <c r="L333" s="11" t="inlineStr">
        <is>
          <t>-</t>
        </is>
      </c>
      <c r="M333" s="13" t="n"/>
      <c r="N333" s="13" t="n"/>
      <c r="O333" s="10" t="n">
        <v>100</v>
      </c>
      <c r="P333" s="11" t="inlineStr">
        <is>
          <t>مصرف مستقیم</t>
        </is>
      </c>
      <c r="Q333" s="10">
        <f>SUMIFS('ورودی برنامه'!$D$4:$D$16,'ورودی برنامه'!$A$4:$A$16,A333,'ورودی برنامه'!$C$4:$C$16,C333)</f>
        <v>1400</v>
      </c>
      <c r="R333" s="10">
        <f>SUMIFS('ورودی برنامه'!$E$4:$E$16,'ورودی برنامه'!$A$4:$A$16,A333,'ورودی برنامه'!$C$4:$C$16,C333)</f>
        <v>1200</v>
      </c>
      <c r="S333" s="10">
        <f>ROUND(Q333*J333/K333*O333/100,10)</f>
        <v>2800</v>
      </c>
      <c r="T333" s="10">
        <f>ROUND(R333*J333/K333*O333/100,10)</f>
        <v>2400</v>
      </c>
      <c r="U333" s="10" t="n">
        <v>2800</v>
      </c>
      <c r="V333" s="10" t="n">
        <v>2400</v>
      </c>
    </row>
    <row r="334" ht="20" customHeight="1">
      <c r="A334" s="5" t="n">
        <v>1201653</v>
      </c>
      <c r="B334" s="6" t="inlineStr">
        <is>
          <t>جعبه الکترونیکی مونتاژ ماشینی شده BCMi/SBMi_P207_SOREN_ARISUN Top</t>
        </is>
      </c>
      <c r="C334" s="6" t="inlineStr">
        <is>
          <t>13416020224</t>
        </is>
      </c>
      <c r="D334" s="6" t="inlineStr">
        <is>
          <t>1405/06/10</t>
        </is>
      </c>
      <c r="E334" s="9" t="n"/>
      <c r="F334" s="5" t="n">
        <v>32001</v>
      </c>
      <c r="G334" s="5" t="n">
        <v>1110714</v>
      </c>
      <c r="H334" s="6" t="inlineStr">
        <is>
          <t>Resistor 22K,1%,1/10W</t>
        </is>
      </c>
      <c r="I334" s="6" t="inlineStr">
        <is>
          <t>عدد</t>
        </is>
      </c>
      <c r="J334" s="5" t="n">
        <v>24</v>
      </c>
      <c r="K334" s="5" t="n">
        <v>1</v>
      </c>
      <c r="L334" s="6" t="inlineStr">
        <is>
          <t>13</t>
        </is>
      </c>
      <c r="M334" s="5" t="n">
        <v>2</v>
      </c>
      <c r="N334" s="5" t="n">
        <v>50</v>
      </c>
      <c r="O334" s="5">
        <f>N334</f>
        <v>50</v>
      </c>
      <c r="P334" s="6" t="inlineStr">
        <is>
          <t>سهم درصد استفاده BOM</t>
        </is>
      </c>
      <c r="Q334" s="5">
        <f>SUMIFS('ورودی برنامه'!$D$4:$D$16,'ورودی برنامه'!$A$4:$A$16,A334,'ورودی برنامه'!$C$4:$C$16,C334)</f>
        <v>1400</v>
      </c>
      <c r="R334" s="5">
        <f>SUMIFS('ورودی برنامه'!$E$4:$E$16,'ورودی برنامه'!$A$4:$A$16,A334,'ورودی برنامه'!$C$4:$C$16,C334)</f>
        <v>1200</v>
      </c>
      <c r="S334" s="5">
        <f>ROUND(Q334*J334/K334*O334/100,10)</f>
        <v>16800</v>
      </c>
      <c r="T334" s="5">
        <f>ROUND(R334*J334/K334*O334/100,10)</f>
        <v>14400</v>
      </c>
      <c r="U334" s="5" t="n">
        <v>0</v>
      </c>
      <c r="V334" s="5" t="n">
        <v>0</v>
      </c>
    </row>
    <row r="335" ht="20" customHeight="1">
      <c r="A335" s="10" t="n">
        <v>1201653</v>
      </c>
      <c r="B335" s="11" t="inlineStr">
        <is>
          <t>جعبه الکترونیکی مونتاژ ماشینی شده BCMi/SBMi_P207_SOREN_ARISUN Top</t>
        </is>
      </c>
      <c r="C335" s="11" t="inlineStr">
        <is>
          <t>13416020224</t>
        </is>
      </c>
      <c r="D335" s="11" t="inlineStr">
        <is>
          <t>1405/06/10</t>
        </is>
      </c>
      <c r="E335" s="13" t="n"/>
      <c r="F335" s="10" t="n">
        <v>33397</v>
      </c>
      <c r="G335" s="10" t="n">
        <v>1110690</v>
      </c>
      <c r="H335" s="11" t="inlineStr">
        <is>
          <t>Resistor 60.4 ,1%, 1/4W</t>
        </is>
      </c>
      <c r="I335" s="11" t="inlineStr">
        <is>
          <t>عدد</t>
        </is>
      </c>
      <c r="J335" s="10" t="n">
        <v>2</v>
      </c>
      <c r="K335" s="10" t="n">
        <v>1</v>
      </c>
      <c r="L335" s="11" t="inlineStr">
        <is>
          <t>-</t>
        </is>
      </c>
      <c r="M335" s="13" t="n"/>
      <c r="N335" s="13" t="n"/>
      <c r="O335" s="10" t="n">
        <v>100</v>
      </c>
      <c r="P335" s="11" t="inlineStr">
        <is>
          <t>مصرف مستقیم</t>
        </is>
      </c>
      <c r="Q335" s="10">
        <f>SUMIFS('ورودی برنامه'!$D$4:$D$16,'ورودی برنامه'!$A$4:$A$16,A335,'ورودی برنامه'!$C$4:$C$16,C335)</f>
        <v>1400</v>
      </c>
      <c r="R335" s="10">
        <f>SUMIFS('ورودی برنامه'!$E$4:$E$16,'ورودی برنامه'!$A$4:$A$16,A335,'ورودی برنامه'!$C$4:$C$16,C335)</f>
        <v>1200</v>
      </c>
      <c r="S335" s="10">
        <f>ROUND(Q335*J335/K335*O335/100,10)</f>
        <v>2800</v>
      </c>
      <c r="T335" s="10">
        <f>ROUND(R335*J335/K335*O335/100,10)</f>
        <v>2400</v>
      </c>
      <c r="U335" s="10" t="n">
        <v>2800</v>
      </c>
      <c r="V335" s="10" t="n">
        <v>2400</v>
      </c>
    </row>
    <row r="336" ht="20" customHeight="1">
      <c r="A336" s="5" t="n">
        <v>1201653</v>
      </c>
      <c r="B336" s="6" t="inlineStr">
        <is>
          <t>جعبه الکترونیکی مونتاژ ماشینی شده BCMi/SBMi_P207_SOREN_ARISUN Top</t>
        </is>
      </c>
      <c r="C336" s="6" t="inlineStr">
        <is>
          <t>13416020224</t>
        </is>
      </c>
      <c r="D336" s="6" t="inlineStr">
        <is>
          <t>1405/06/10</t>
        </is>
      </c>
      <c r="E336" s="9" t="n"/>
      <c r="F336" s="5" t="n">
        <v>33613</v>
      </c>
      <c r="G336" s="5" t="n">
        <v>1110101</v>
      </c>
      <c r="H336" s="6" t="inlineStr">
        <is>
          <t>Capacitor 47nF, X7R, 50V, 10%</t>
        </is>
      </c>
      <c r="I336" s="6" t="inlineStr">
        <is>
          <t>عدد</t>
        </is>
      </c>
      <c r="J336" s="5" t="n">
        <v>45</v>
      </c>
      <c r="K336" s="5" t="n">
        <v>1</v>
      </c>
      <c r="L336" s="6" t="inlineStr">
        <is>
          <t>-</t>
        </is>
      </c>
      <c r="M336" s="9" t="n"/>
      <c r="N336" s="9" t="n"/>
      <c r="O336" s="5" t="n">
        <v>100</v>
      </c>
      <c r="P336" s="6" t="inlineStr">
        <is>
          <t>مصرف مستقیم</t>
        </is>
      </c>
      <c r="Q336" s="5">
        <f>SUMIFS('ورودی برنامه'!$D$4:$D$16,'ورودی برنامه'!$A$4:$A$16,A336,'ورودی برنامه'!$C$4:$C$16,C336)</f>
        <v>1400</v>
      </c>
      <c r="R336" s="5">
        <f>SUMIFS('ورودی برنامه'!$E$4:$E$16,'ورودی برنامه'!$A$4:$A$16,A336,'ورودی برنامه'!$C$4:$C$16,C336)</f>
        <v>1200</v>
      </c>
      <c r="S336" s="5">
        <f>ROUND(Q336*J336/K336*O336/100,10)</f>
        <v>63000</v>
      </c>
      <c r="T336" s="5">
        <f>ROUND(R336*J336/K336*O336/100,10)</f>
        <v>54000</v>
      </c>
      <c r="U336" s="5" t="n">
        <v>63000</v>
      </c>
      <c r="V336" s="5" t="n">
        <v>54000</v>
      </c>
    </row>
    <row r="337" ht="20" customHeight="1">
      <c r="A337" s="10" t="n">
        <v>1201653</v>
      </c>
      <c r="B337" s="11" t="inlineStr">
        <is>
          <t>جعبه الکترونیکی مونتاژ ماشینی شده BCMi/SBMi_P207_SOREN_ARISUN Top</t>
        </is>
      </c>
      <c r="C337" s="11" t="inlineStr">
        <is>
          <t>13416020224</t>
        </is>
      </c>
      <c r="D337" s="11" t="inlineStr">
        <is>
          <t>1405/06/10</t>
        </is>
      </c>
      <c r="E337" s="13" t="n"/>
      <c r="F337" s="10" t="n">
        <v>33935</v>
      </c>
      <c r="G337" s="10" t="n">
        <v>1110109</v>
      </c>
      <c r="H337" s="11" t="inlineStr">
        <is>
          <t>Capacitor 68pF , 5%,50V , X7R</t>
        </is>
      </c>
      <c r="I337" s="11" t="inlineStr">
        <is>
          <t>عدد</t>
        </is>
      </c>
      <c r="J337" s="10" t="n">
        <v>8</v>
      </c>
      <c r="K337" s="10" t="n">
        <v>1</v>
      </c>
      <c r="L337" s="11" t="inlineStr">
        <is>
          <t>-</t>
        </is>
      </c>
      <c r="M337" s="13" t="n"/>
      <c r="N337" s="13" t="n"/>
      <c r="O337" s="10" t="n">
        <v>100</v>
      </c>
      <c r="P337" s="11" t="inlineStr">
        <is>
          <t>مصرف مستقیم</t>
        </is>
      </c>
      <c r="Q337" s="10">
        <f>SUMIFS('ورودی برنامه'!$D$4:$D$16,'ورودی برنامه'!$A$4:$A$16,A337,'ورودی برنامه'!$C$4:$C$16,C337)</f>
        <v>1400</v>
      </c>
      <c r="R337" s="10">
        <f>SUMIFS('ورودی برنامه'!$E$4:$E$16,'ورودی برنامه'!$A$4:$A$16,A337,'ورودی برنامه'!$C$4:$C$16,C337)</f>
        <v>1200</v>
      </c>
      <c r="S337" s="10">
        <f>ROUND(Q337*J337/K337*O337/100,10)</f>
        <v>11200</v>
      </c>
      <c r="T337" s="10">
        <f>ROUND(R337*J337/K337*O337/100,10)</f>
        <v>9600</v>
      </c>
      <c r="U337" s="10" t="n">
        <v>11200</v>
      </c>
      <c r="V337" s="10" t="n">
        <v>9600</v>
      </c>
    </row>
    <row r="338" ht="20" customHeight="1">
      <c r="A338" s="5" t="n">
        <v>1201653</v>
      </c>
      <c r="B338" s="6" t="inlineStr">
        <is>
          <t>جعبه الکترونیکی مونتاژ ماشینی شده BCMi/SBMi_P207_SOREN_ARISUN Top</t>
        </is>
      </c>
      <c r="C338" s="6" t="inlineStr">
        <is>
          <t>13416020224</t>
        </is>
      </c>
      <c r="D338" s="6" t="inlineStr">
        <is>
          <t>1405/06/10</t>
        </is>
      </c>
      <c r="E338" s="9" t="n"/>
      <c r="F338" s="5" t="n">
        <v>34191</v>
      </c>
      <c r="G338" s="5" t="n">
        <v>1110754</v>
      </c>
      <c r="H338" s="6" t="inlineStr">
        <is>
          <t>Resistor 1R, 1%, 1/4W</t>
        </is>
      </c>
      <c r="I338" s="6" t="inlineStr">
        <is>
          <t>عدد</t>
        </is>
      </c>
      <c r="J338" s="5" t="n">
        <v>1</v>
      </c>
      <c r="K338" s="5" t="n">
        <v>1</v>
      </c>
      <c r="L338" s="6" t="inlineStr">
        <is>
          <t>-</t>
        </is>
      </c>
      <c r="M338" s="9" t="n"/>
      <c r="N338" s="9" t="n"/>
      <c r="O338" s="5" t="n">
        <v>100</v>
      </c>
      <c r="P338" s="6" t="inlineStr">
        <is>
          <t>مصرف مستقیم</t>
        </is>
      </c>
      <c r="Q338" s="5">
        <f>SUMIFS('ورودی برنامه'!$D$4:$D$16,'ورودی برنامه'!$A$4:$A$16,A338,'ورودی برنامه'!$C$4:$C$16,C338)</f>
        <v>1400</v>
      </c>
      <c r="R338" s="5">
        <f>SUMIFS('ورودی برنامه'!$E$4:$E$16,'ورودی برنامه'!$A$4:$A$16,A338,'ورودی برنامه'!$C$4:$C$16,C338)</f>
        <v>1200</v>
      </c>
      <c r="S338" s="5">
        <f>ROUND(Q338*J338/K338*O338/100,10)</f>
        <v>1400</v>
      </c>
      <c r="T338" s="5">
        <f>ROUND(R338*J338/K338*O338/100,10)</f>
        <v>1200</v>
      </c>
      <c r="U338" s="5" t="n">
        <v>1400</v>
      </c>
      <c r="V338" s="5" t="n">
        <v>1200</v>
      </c>
    </row>
    <row r="339" ht="20" customHeight="1">
      <c r="A339" s="10" t="n">
        <v>1201653</v>
      </c>
      <c r="B339" s="11" t="inlineStr">
        <is>
          <t>جعبه الکترونیکی مونتاژ ماشینی شده BCMi/SBMi_P207_SOREN_ARISUN Top</t>
        </is>
      </c>
      <c r="C339" s="11" t="inlineStr">
        <is>
          <t>13416020224</t>
        </is>
      </c>
      <c r="D339" s="11" t="inlineStr">
        <is>
          <t>1405/06/10</t>
        </is>
      </c>
      <c r="E339" s="13" t="n"/>
      <c r="F339" s="10" t="n">
        <v>34401</v>
      </c>
      <c r="G339" s="10" t="n">
        <v>1110760</v>
      </c>
      <c r="H339" s="11" t="inlineStr">
        <is>
          <t>Resistor 47,5%,1/10W</t>
        </is>
      </c>
      <c r="I339" s="11" t="inlineStr">
        <is>
          <t>عدد</t>
        </is>
      </c>
      <c r="J339" s="10" t="n">
        <v>3</v>
      </c>
      <c r="K339" s="10" t="n">
        <v>1</v>
      </c>
      <c r="L339" s="11" t="inlineStr">
        <is>
          <t>-</t>
        </is>
      </c>
      <c r="M339" s="13" t="n"/>
      <c r="N339" s="13" t="n"/>
      <c r="O339" s="10" t="n">
        <v>100</v>
      </c>
      <c r="P339" s="11" t="inlineStr">
        <is>
          <t>مصرف مستقیم</t>
        </is>
      </c>
      <c r="Q339" s="10">
        <f>SUMIFS('ورودی برنامه'!$D$4:$D$16,'ورودی برنامه'!$A$4:$A$16,A339,'ورودی برنامه'!$C$4:$C$16,C339)</f>
        <v>1400</v>
      </c>
      <c r="R339" s="10">
        <f>SUMIFS('ورودی برنامه'!$E$4:$E$16,'ورودی برنامه'!$A$4:$A$16,A339,'ورودی برنامه'!$C$4:$C$16,C339)</f>
        <v>1200</v>
      </c>
      <c r="S339" s="10">
        <f>ROUND(Q339*J339/K339*O339/100,10)</f>
        <v>4200</v>
      </c>
      <c r="T339" s="10">
        <f>ROUND(R339*J339/K339*O339/100,10)</f>
        <v>3600</v>
      </c>
      <c r="U339" s="10" t="n">
        <v>4200</v>
      </c>
      <c r="V339" s="10" t="n">
        <v>3600</v>
      </c>
    </row>
    <row r="340" ht="20" customHeight="1">
      <c r="A340" s="5" t="n">
        <v>1201653</v>
      </c>
      <c r="B340" s="6" t="inlineStr">
        <is>
          <t>جعبه الکترونیکی مونتاژ ماشینی شده BCMi/SBMi_P207_SOREN_ARISUN Top</t>
        </is>
      </c>
      <c r="C340" s="6" t="inlineStr">
        <is>
          <t>13416020224</t>
        </is>
      </c>
      <c r="D340" s="6" t="inlineStr">
        <is>
          <t>1405/06/10</t>
        </is>
      </c>
      <c r="E340" s="9" t="n"/>
      <c r="F340" s="5" t="n">
        <v>35718</v>
      </c>
      <c r="G340" s="5" t="n">
        <v>1110506</v>
      </c>
      <c r="H340" s="6" t="inlineStr">
        <is>
          <t>IC BTS7030-2EPA</t>
        </is>
      </c>
      <c r="I340" s="6" t="inlineStr">
        <is>
          <t>عدد</t>
        </is>
      </c>
      <c r="J340" s="5" t="n">
        <v>3</v>
      </c>
      <c r="K340" s="5" t="n">
        <v>1</v>
      </c>
      <c r="L340" s="6" t="inlineStr">
        <is>
          <t>-</t>
        </is>
      </c>
      <c r="M340" s="9" t="n"/>
      <c r="N340" s="9" t="n"/>
      <c r="O340" s="5" t="n">
        <v>100</v>
      </c>
      <c r="P340" s="6" t="inlineStr">
        <is>
          <t>مصرف مستقیم</t>
        </is>
      </c>
      <c r="Q340" s="5">
        <f>SUMIFS('ورودی برنامه'!$D$4:$D$16,'ورودی برنامه'!$A$4:$A$16,A340,'ورودی برنامه'!$C$4:$C$16,C340)</f>
        <v>1400</v>
      </c>
      <c r="R340" s="5">
        <f>SUMIFS('ورودی برنامه'!$E$4:$E$16,'ورودی برنامه'!$A$4:$A$16,A340,'ورودی برنامه'!$C$4:$C$16,C340)</f>
        <v>1200</v>
      </c>
      <c r="S340" s="5">
        <f>ROUND(Q340*J340/K340*O340/100,10)</f>
        <v>4200</v>
      </c>
      <c r="T340" s="5">
        <f>ROUND(R340*J340/K340*O340/100,10)</f>
        <v>3600</v>
      </c>
      <c r="U340" s="5" t="n">
        <v>4200</v>
      </c>
      <c r="V340" s="5" t="n">
        <v>3600</v>
      </c>
    </row>
    <row r="341" ht="20" customHeight="1">
      <c r="A341" s="10" t="n">
        <v>1201653</v>
      </c>
      <c r="B341" s="11" t="inlineStr">
        <is>
          <t>جعبه الکترونیکی مونتاژ ماشینی شده BCMi/SBMi_P207_SOREN_ARISUN Top</t>
        </is>
      </c>
      <c r="C341" s="11" t="inlineStr">
        <is>
          <t>13416020224</t>
        </is>
      </c>
      <c r="D341" s="11" t="inlineStr">
        <is>
          <t>1405/06/10</t>
        </is>
      </c>
      <c r="E341" s="13" t="n"/>
      <c r="F341" s="10" t="n">
        <v>37567</v>
      </c>
      <c r="G341" s="10" t="n">
        <v>1110901</v>
      </c>
      <c r="H341" s="11" t="inlineStr">
        <is>
          <t>Diode 1N4007WS</t>
        </is>
      </c>
      <c r="I341" s="11" t="inlineStr">
        <is>
          <t>عدد</t>
        </is>
      </c>
      <c r="J341" s="10" t="n">
        <v>25</v>
      </c>
      <c r="K341" s="10" t="n">
        <v>1</v>
      </c>
      <c r="L341" s="11" t="inlineStr">
        <is>
          <t>-</t>
        </is>
      </c>
      <c r="M341" s="13" t="n"/>
      <c r="N341" s="13" t="n"/>
      <c r="O341" s="10" t="n">
        <v>100</v>
      </c>
      <c r="P341" s="11" t="inlineStr">
        <is>
          <t>مصرف مستقیم</t>
        </is>
      </c>
      <c r="Q341" s="10">
        <f>SUMIFS('ورودی برنامه'!$D$4:$D$16,'ورودی برنامه'!$A$4:$A$16,A341,'ورودی برنامه'!$C$4:$C$16,C341)</f>
        <v>1400</v>
      </c>
      <c r="R341" s="10">
        <f>SUMIFS('ورودی برنامه'!$E$4:$E$16,'ورودی برنامه'!$A$4:$A$16,A341,'ورودی برنامه'!$C$4:$C$16,C341)</f>
        <v>1200</v>
      </c>
      <c r="S341" s="10">
        <f>ROUND(Q341*J341/K341*O341/100,10)</f>
        <v>35000</v>
      </c>
      <c r="T341" s="10">
        <f>ROUND(R341*J341/K341*O341/100,10)</f>
        <v>30000</v>
      </c>
      <c r="U341" s="10" t="n">
        <v>35000</v>
      </c>
      <c r="V341" s="10" t="n">
        <v>30000</v>
      </c>
    </row>
    <row r="342" ht="20" customHeight="1">
      <c r="A342" s="5" t="n">
        <v>1201654</v>
      </c>
      <c r="B342" s="6" t="inlineStr">
        <is>
          <t>BCMi/SBMi_P207_SOREN_ARISUN Bottom جعبه الکترونیکی مونتاژ ماشینی شده</t>
        </is>
      </c>
      <c r="C342" s="6" t="inlineStr">
        <is>
          <t>13416020223</t>
        </is>
      </c>
      <c r="D342" s="6" t="inlineStr">
        <is>
          <t>1405/06/10</t>
        </is>
      </c>
      <c r="E342" s="9" t="n"/>
      <c r="F342" s="5" t="n">
        <v>720</v>
      </c>
      <c r="G342" s="5" t="n">
        <v>1101036</v>
      </c>
      <c r="H342" s="6" t="inlineStr">
        <is>
          <t>Resistor 100,5%,1/10W</t>
        </is>
      </c>
      <c r="I342" s="6" t="inlineStr">
        <is>
          <t>عدد</t>
        </is>
      </c>
      <c r="J342" s="5" t="n">
        <v>17</v>
      </c>
      <c r="K342" s="5" t="n">
        <v>1</v>
      </c>
      <c r="L342" s="6" t="inlineStr">
        <is>
          <t>16</t>
        </is>
      </c>
      <c r="M342" s="5" t="n">
        <v>1</v>
      </c>
      <c r="N342" s="5" t="n">
        <v>50</v>
      </c>
      <c r="O342" s="5">
        <f>N342</f>
        <v>50</v>
      </c>
      <c r="P342" s="6" t="inlineStr">
        <is>
          <t>سهم درصد استفاده BOM</t>
        </is>
      </c>
      <c r="Q342" s="5">
        <f>SUMIFS('ورودی برنامه'!$D$4:$D$16,'ورودی برنامه'!$A$4:$A$16,A342,'ورودی برنامه'!$C$4:$C$16,C342)</f>
        <v>1750</v>
      </c>
      <c r="R342" s="5">
        <f>SUMIFS('ورودی برنامه'!$E$4:$E$16,'ورودی برنامه'!$A$4:$A$16,A342,'ورودی برنامه'!$C$4:$C$16,C342)</f>
        <v>1200</v>
      </c>
      <c r="S342" s="5">
        <f>ROUND(Q342*J342/K342*O342/100,10)</f>
        <v>14875</v>
      </c>
      <c r="T342" s="5">
        <f>ROUND(R342*J342/K342*O342/100,10)</f>
        <v>10200</v>
      </c>
      <c r="U342" s="5" t="n">
        <v>29750</v>
      </c>
      <c r="V342" s="5" t="n">
        <v>6876</v>
      </c>
    </row>
    <row r="343" ht="20" customHeight="1">
      <c r="A343" s="10" t="n">
        <v>1201654</v>
      </c>
      <c r="B343" s="11" t="inlineStr">
        <is>
          <t>BCMi/SBMi_P207_SOREN_ARISUN Bottom جعبه الکترونیکی مونتاژ ماشینی شده</t>
        </is>
      </c>
      <c r="C343" s="11" t="inlineStr">
        <is>
          <t>13416020223</t>
        </is>
      </c>
      <c r="D343" s="11" t="inlineStr">
        <is>
          <t>1405/06/10</t>
        </is>
      </c>
      <c r="E343" s="13" t="n"/>
      <c r="F343" s="10" t="n">
        <v>1583</v>
      </c>
      <c r="G343" s="10" t="n">
        <v>1111041</v>
      </c>
      <c r="H343" s="11" t="inlineStr">
        <is>
          <t>IC TLE75008-ESD</t>
        </is>
      </c>
      <c r="I343" s="11" t="inlineStr">
        <is>
          <t>عدد</t>
        </is>
      </c>
      <c r="J343" s="10" t="n">
        <v>2</v>
      </c>
      <c r="K343" s="10" t="n">
        <v>1</v>
      </c>
      <c r="L343" s="11" t="inlineStr">
        <is>
          <t>10</t>
        </is>
      </c>
      <c r="M343" s="10" t="n">
        <v>1</v>
      </c>
      <c r="N343" s="10" t="n">
        <v>50</v>
      </c>
      <c r="O343" s="10">
        <f>N343</f>
        <v>50</v>
      </c>
      <c r="P343" s="11" t="inlineStr">
        <is>
          <t>سهم درصد استفاده BOM</t>
        </is>
      </c>
      <c r="Q343" s="10">
        <f>SUMIFS('ورودی برنامه'!$D$4:$D$16,'ورودی برنامه'!$A$4:$A$16,A343,'ورودی برنامه'!$C$4:$C$16,C343)</f>
        <v>1750</v>
      </c>
      <c r="R343" s="10">
        <f>SUMIFS('ورودی برنامه'!$E$4:$E$16,'ورودی برنامه'!$A$4:$A$16,A343,'ورودی برنامه'!$C$4:$C$16,C343)</f>
        <v>1200</v>
      </c>
      <c r="S343" s="10">
        <f>ROUND(Q343*J343/K343*O343/100,10)</f>
        <v>1750</v>
      </c>
      <c r="T343" s="10">
        <f>ROUND(R343*J343/K343*O343/100,10)</f>
        <v>1200</v>
      </c>
      <c r="U343" s="10" t="n">
        <v>3500</v>
      </c>
      <c r="V343" s="10" t="n">
        <v>2400</v>
      </c>
    </row>
    <row r="344" ht="20" customHeight="1">
      <c r="A344" s="5" t="n">
        <v>1201654</v>
      </c>
      <c r="B344" s="6" t="inlineStr">
        <is>
          <t>BCMi/SBMi_P207_SOREN_ARISUN Bottom جعبه الکترونیکی مونتاژ ماشینی شده</t>
        </is>
      </c>
      <c r="C344" s="6" t="inlineStr">
        <is>
          <t>13416020223</t>
        </is>
      </c>
      <c r="D344" s="6" t="inlineStr">
        <is>
          <t>1405/06/10</t>
        </is>
      </c>
      <c r="E344" s="9" t="n"/>
      <c r="F344" s="5" t="n">
        <v>1601</v>
      </c>
      <c r="G344" s="5" t="n">
        <v>1111042</v>
      </c>
      <c r="H344" s="6" t="inlineStr">
        <is>
          <t>IC TLE75602-ESD</t>
        </is>
      </c>
      <c r="I344" s="6" t="inlineStr">
        <is>
          <t>عدد</t>
        </is>
      </c>
      <c r="J344" s="5" t="n">
        <v>2</v>
      </c>
      <c r="K344" s="5" t="n">
        <v>1</v>
      </c>
      <c r="L344" s="6" t="inlineStr">
        <is>
          <t>10</t>
        </is>
      </c>
      <c r="M344" s="5" t="n">
        <v>2</v>
      </c>
      <c r="N344" s="5" t="n">
        <v>50</v>
      </c>
      <c r="O344" s="5">
        <f>N344</f>
        <v>50</v>
      </c>
      <c r="P344" s="6" t="inlineStr">
        <is>
          <t>سهم درصد استفاده BOM</t>
        </is>
      </c>
      <c r="Q344" s="5">
        <f>SUMIFS('ورودی برنامه'!$D$4:$D$16,'ورودی برنامه'!$A$4:$A$16,A344,'ورودی برنامه'!$C$4:$C$16,C344)</f>
        <v>1750</v>
      </c>
      <c r="R344" s="5">
        <f>SUMIFS('ورودی برنامه'!$E$4:$E$16,'ورودی برنامه'!$A$4:$A$16,A344,'ورودی برنامه'!$C$4:$C$16,C344)</f>
        <v>1200</v>
      </c>
      <c r="S344" s="5">
        <f>ROUND(Q344*J344/K344*O344/100,10)</f>
        <v>1750</v>
      </c>
      <c r="T344" s="5">
        <f>ROUND(R344*J344/K344*O344/100,10)</f>
        <v>1200</v>
      </c>
      <c r="U344" s="5" t="n">
        <v>0</v>
      </c>
      <c r="V344" s="5" t="n">
        <v>0</v>
      </c>
    </row>
    <row r="345" ht="20" customHeight="1">
      <c r="A345" s="10" t="n">
        <v>1201654</v>
      </c>
      <c r="B345" s="11" t="inlineStr">
        <is>
          <t>BCMi/SBMi_P207_SOREN_ARISUN Bottom جعبه الکترونیکی مونتاژ ماشینی شده</t>
        </is>
      </c>
      <c r="C345" s="11" t="inlineStr">
        <is>
          <t>13416020223</t>
        </is>
      </c>
      <c r="D345" s="11" t="inlineStr">
        <is>
          <t>1405/06/10</t>
        </is>
      </c>
      <c r="E345" s="13" t="n"/>
      <c r="F345" s="10" t="n">
        <v>2621</v>
      </c>
      <c r="G345" s="10" t="n">
        <v>1110569</v>
      </c>
      <c r="H345" s="11" t="inlineStr">
        <is>
          <t>Capacitor 10N, X7R ,50V,10%</t>
        </is>
      </c>
      <c r="I345" s="11" t="inlineStr">
        <is>
          <t>عدد(شمارشی)</t>
        </is>
      </c>
      <c r="J345" s="10" t="n">
        <v>29</v>
      </c>
      <c r="K345" s="10" t="n">
        <v>1</v>
      </c>
      <c r="L345" s="11" t="inlineStr">
        <is>
          <t>-</t>
        </is>
      </c>
      <c r="M345" s="13" t="n"/>
      <c r="N345" s="13" t="n"/>
      <c r="O345" s="10" t="n">
        <v>100</v>
      </c>
      <c r="P345" s="11" t="inlineStr">
        <is>
          <t>مصرف مستقیم</t>
        </is>
      </c>
      <c r="Q345" s="10">
        <f>SUMIFS('ورودی برنامه'!$D$4:$D$16,'ورودی برنامه'!$A$4:$A$16,A345,'ورودی برنامه'!$C$4:$C$16,C345)</f>
        <v>1750</v>
      </c>
      <c r="R345" s="10">
        <f>SUMIFS('ورودی برنامه'!$E$4:$E$16,'ورودی برنامه'!$A$4:$A$16,A345,'ورودی برنامه'!$C$4:$C$16,C345)</f>
        <v>1200</v>
      </c>
      <c r="S345" s="10">
        <f>ROUND(Q345*J345/K345*O345/100,10)</f>
        <v>50750</v>
      </c>
      <c r="T345" s="10">
        <f>ROUND(R345*J345/K345*O345/100,10)</f>
        <v>34800</v>
      </c>
      <c r="U345" s="10" t="n">
        <v>50750</v>
      </c>
      <c r="V345" s="10" t="n">
        <v>34800</v>
      </c>
    </row>
    <row r="346" ht="20" customHeight="1">
      <c r="A346" s="5" t="n">
        <v>1201654</v>
      </c>
      <c r="B346" s="6" t="inlineStr">
        <is>
          <t>BCMi/SBMi_P207_SOREN_ARISUN Bottom جعبه الکترونیکی مونتاژ ماشینی شده</t>
        </is>
      </c>
      <c r="C346" s="6" t="inlineStr">
        <is>
          <t>13416020223</t>
        </is>
      </c>
      <c r="D346" s="6" t="inlineStr">
        <is>
          <t>1405/06/10</t>
        </is>
      </c>
      <c r="E346" s="9" t="n"/>
      <c r="F346" s="5" t="n">
        <v>2656</v>
      </c>
      <c r="G346" s="5" t="n">
        <v>1110572</v>
      </c>
      <c r="H346" s="6" t="inlineStr">
        <is>
          <t>Resistor 1.2K,1%,1/16W</t>
        </is>
      </c>
      <c r="I346" s="6" t="inlineStr">
        <is>
          <t>عدد(شمارشی)</t>
        </is>
      </c>
      <c r="J346" s="5" t="n">
        <v>1</v>
      </c>
      <c r="K346" s="5" t="n">
        <v>1</v>
      </c>
      <c r="L346" s="6" t="inlineStr">
        <is>
          <t>-</t>
        </is>
      </c>
      <c r="M346" s="9" t="n"/>
      <c r="N346" s="9" t="n"/>
      <c r="O346" s="5" t="n">
        <v>100</v>
      </c>
      <c r="P346" s="6" t="inlineStr">
        <is>
          <t>مصرف مستقیم</t>
        </is>
      </c>
      <c r="Q346" s="5">
        <f>SUMIFS('ورودی برنامه'!$D$4:$D$16,'ورودی برنامه'!$A$4:$A$16,A346,'ورودی برنامه'!$C$4:$C$16,C346)</f>
        <v>1750</v>
      </c>
      <c r="R346" s="5">
        <f>SUMIFS('ورودی برنامه'!$E$4:$E$16,'ورودی برنامه'!$A$4:$A$16,A346,'ورودی برنامه'!$C$4:$C$16,C346)</f>
        <v>1200</v>
      </c>
      <c r="S346" s="5">
        <f>ROUND(Q346*J346/K346*O346/100,10)</f>
        <v>1750</v>
      </c>
      <c r="T346" s="5">
        <f>ROUND(R346*J346/K346*O346/100,10)</f>
        <v>1200</v>
      </c>
      <c r="U346" s="5" t="n">
        <v>1750</v>
      </c>
      <c r="V346" s="5" t="n">
        <v>1200</v>
      </c>
    </row>
    <row r="347" ht="20" customHeight="1">
      <c r="A347" s="10" t="n">
        <v>1201654</v>
      </c>
      <c r="B347" s="11" t="inlineStr">
        <is>
          <t>BCMi/SBMi_P207_SOREN_ARISUN Bottom جعبه الکترونیکی مونتاژ ماشینی شده</t>
        </is>
      </c>
      <c r="C347" s="11" t="inlineStr">
        <is>
          <t>13416020223</t>
        </is>
      </c>
      <c r="D347" s="11" t="inlineStr">
        <is>
          <t>1405/06/10</t>
        </is>
      </c>
      <c r="E347" s="13" t="n"/>
      <c r="F347" s="10" t="n">
        <v>2673</v>
      </c>
      <c r="G347" s="10" t="n">
        <v>1110573</v>
      </c>
      <c r="H347" s="11" t="inlineStr">
        <is>
          <t>Resistor 10K,1%,1/16W</t>
        </is>
      </c>
      <c r="I347" s="11" t="inlineStr">
        <is>
          <t>عدد(شمارشی)</t>
        </is>
      </c>
      <c r="J347" s="10" t="n">
        <v>2</v>
      </c>
      <c r="K347" s="10" t="n">
        <v>1</v>
      </c>
      <c r="L347" s="11" t="inlineStr">
        <is>
          <t>-</t>
        </is>
      </c>
      <c r="M347" s="13" t="n"/>
      <c r="N347" s="13" t="n"/>
      <c r="O347" s="10" t="n">
        <v>100</v>
      </c>
      <c r="P347" s="11" t="inlineStr">
        <is>
          <t>مصرف مستقیم</t>
        </is>
      </c>
      <c r="Q347" s="10">
        <f>SUMIFS('ورودی برنامه'!$D$4:$D$16,'ورودی برنامه'!$A$4:$A$16,A347,'ورودی برنامه'!$C$4:$C$16,C347)</f>
        <v>1750</v>
      </c>
      <c r="R347" s="10">
        <f>SUMIFS('ورودی برنامه'!$E$4:$E$16,'ورودی برنامه'!$A$4:$A$16,A347,'ورودی برنامه'!$C$4:$C$16,C347)</f>
        <v>1200</v>
      </c>
      <c r="S347" s="10">
        <f>ROUND(Q347*J347/K347*O347/100,10)</f>
        <v>3500</v>
      </c>
      <c r="T347" s="10">
        <f>ROUND(R347*J347/K347*O347/100,10)</f>
        <v>2400</v>
      </c>
      <c r="U347" s="10" t="n">
        <v>3500</v>
      </c>
      <c r="V347" s="10" t="n">
        <v>2400</v>
      </c>
    </row>
    <row r="348" ht="20" customHeight="1">
      <c r="A348" s="5" t="n">
        <v>1201654</v>
      </c>
      <c r="B348" s="6" t="inlineStr">
        <is>
          <t>BCMi/SBMi_P207_SOREN_ARISUN Bottom جعبه الکترونیکی مونتاژ ماشینی شده</t>
        </is>
      </c>
      <c r="C348" s="6" t="inlineStr">
        <is>
          <t>13416020223</t>
        </is>
      </c>
      <c r="D348" s="6" t="inlineStr">
        <is>
          <t>1405/06/10</t>
        </is>
      </c>
      <c r="E348" s="9" t="n"/>
      <c r="F348" s="5" t="n">
        <v>2699</v>
      </c>
      <c r="G348" s="5" t="n">
        <v>1110575</v>
      </c>
      <c r="H348" s="6" t="inlineStr">
        <is>
          <t>Resistor 22K,1%,1/16W</t>
        </is>
      </c>
      <c r="I348" s="6" t="inlineStr">
        <is>
          <t>عدد(شمارشی)</t>
        </is>
      </c>
      <c r="J348" s="5" t="n">
        <v>3</v>
      </c>
      <c r="K348" s="5" t="n">
        <v>1</v>
      </c>
      <c r="L348" s="6" t="inlineStr">
        <is>
          <t>-</t>
        </is>
      </c>
      <c r="M348" s="9" t="n"/>
      <c r="N348" s="9" t="n"/>
      <c r="O348" s="5" t="n">
        <v>100</v>
      </c>
      <c r="P348" s="6" t="inlineStr">
        <is>
          <t>مصرف مستقیم</t>
        </is>
      </c>
      <c r="Q348" s="5">
        <f>SUMIFS('ورودی برنامه'!$D$4:$D$16,'ورودی برنامه'!$A$4:$A$16,A348,'ورودی برنامه'!$C$4:$C$16,C348)</f>
        <v>1750</v>
      </c>
      <c r="R348" s="5">
        <f>SUMIFS('ورودی برنامه'!$E$4:$E$16,'ورودی برنامه'!$A$4:$A$16,A348,'ورودی برنامه'!$C$4:$C$16,C348)</f>
        <v>1200</v>
      </c>
      <c r="S348" s="5">
        <f>ROUND(Q348*J348/K348*O348/100,10)</f>
        <v>5250</v>
      </c>
      <c r="T348" s="5">
        <f>ROUND(R348*J348/K348*O348/100,10)</f>
        <v>3600</v>
      </c>
      <c r="U348" s="5" t="n">
        <v>5250</v>
      </c>
      <c r="V348" s="5" t="n">
        <v>3600</v>
      </c>
    </row>
    <row r="349" ht="20" customHeight="1">
      <c r="A349" s="10" t="n">
        <v>1201654</v>
      </c>
      <c r="B349" s="11" t="inlineStr">
        <is>
          <t>BCMi/SBMi_P207_SOREN_ARISUN Bottom جعبه الکترونیکی مونتاژ ماشینی شده</t>
        </is>
      </c>
      <c r="C349" s="11" t="inlineStr">
        <is>
          <t>13416020223</t>
        </is>
      </c>
      <c r="D349" s="11" t="inlineStr">
        <is>
          <t>1405/06/10</t>
        </is>
      </c>
      <c r="E349" s="13" t="n"/>
      <c r="F349" s="10" t="n">
        <v>2733</v>
      </c>
      <c r="G349" s="10" t="n">
        <v>1110576</v>
      </c>
      <c r="H349" s="11" t="inlineStr">
        <is>
          <t>Resistor 22K,5%,1/16W</t>
        </is>
      </c>
      <c r="I349" s="11" t="inlineStr">
        <is>
          <t>عدد(شمارشی)</t>
        </is>
      </c>
      <c r="J349" s="10" t="n">
        <v>36</v>
      </c>
      <c r="K349" s="10" t="n">
        <v>1</v>
      </c>
      <c r="L349" s="11" t="inlineStr">
        <is>
          <t>13</t>
        </is>
      </c>
      <c r="M349" s="10" t="n">
        <v>1</v>
      </c>
      <c r="N349" s="10" t="n">
        <v>50</v>
      </c>
      <c r="O349" s="10">
        <f>N349</f>
        <v>50</v>
      </c>
      <c r="P349" s="11" t="inlineStr">
        <is>
          <t>سهم درصد استفاده BOM</t>
        </is>
      </c>
      <c r="Q349" s="10">
        <f>SUMIFS('ورودی برنامه'!$D$4:$D$16,'ورودی برنامه'!$A$4:$A$16,A349,'ورودی برنامه'!$C$4:$C$16,C349)</f>
        <v>1750</v>
      </c>
      <c r="R349" s="10">
        <f>SUMIFS('ورودی برنامه'!$E$4:$E$16,'ورودی برنامه'!$A$4:$A$16,A349,'ورودی برنامه'!$C$4:$C$16,C349)</f>
        <v>1200</v>
      </c>
      <c r="S349" s="10">
        <f>ROUND(Q349*J349/K349*O349/100,10)</f>
        <v>31500</v>
      </c>
      <c r="T349" s="10">
        <f>ROUND(R349*J349/K349*O349/100,10)</f>
        <v>21600</v>
      </c>
      <c r="U349" s="10" t="n">
        <v>36320</v>
      </c>
      <c r="V349" s="10" t="n">
        <v>43200</v>
      </c>
    </row>
    <row r="350" ht="20" customHeight="1">
      <c r="A350" s="5" t="n">
        <v>1201654</v>
      </c>
      <c r="B350" s="6" t="inlineStr">
        <is>
          <t>BCMi/SBMi_P207_SOREN_ARISUN Bottom جعبه الکترونیکی مونتاژ ماشینی شده</t>
        </is>
      </c>
      <c r="C350" s="6" t="inlineStr">
        <is>
          <t>13416020223</t>
        </is>
      </c>
      <c r="D350" s="6" t="inlineStr">
        <is>
          <t>1405/06/10</t>
        </is>
      </c>
      <c r="E350" s="9" t="n"/>
      <c r="F350" s="5" t="n">
        <v>2769</v>
      </c>
      <c r="G350" s="5" t="n">
        <v>1110580</v>
      </c>
      <c r="H350" s="6" t="inlineStr">
        <is>
          <t>Resistor 4.7K,1%,1/16W</t>
        </is>
      </c>
      <c r="I350" s="6" t="inlineStr">
        <is>
          <t>عدد(شمارشی)</t>
        </is>
      </c>
      <c r="J350" s="5" t="n">
        <v>1</v>
      </c>
      <c r="K350" s="5" t="n">
        <v>1</v>
      </c>
      <c r="L350" s="6" t="inlineStr">
        <is>
          <t>-</t>
        </is>
      </c>
      <c r="M350" s="9" t="n"/>
      <c r="N350" s="9" t="n"/>
      <c r="O350" s="5" t="n">
        <v>100</v>
      </c>
      <c r="P350" s="6" t="inlineStr">
        <is>
          <t>مصرف مستقیم</t>
        </is>
      </c>
      <c r="Q350" s="5">
        <f>SUMIFS('ورودی برنامه'!$D$4:$D$16,'ورودی برنامه'!$A$4:$A$16,A350,'ورودی برنامه'!$C$4:$C$16,C350)</f>
        <v>1750</v>
      </c>
      <c r="R350" s="5">
        <f>SUMIFS('ورودی برنامه'!$E$4:$E$16,'ورودی برنامه'!$A$4:$A$16,A350,'ورودی برنامه'!$C$4:$C$16,C350)</f>
        <v>1200</v>
      </c>
      <c r="S350" s="5">
        <f>ROUND(Q350*J350/K350*O350/100,10)</f>
        <v>1750</v>
      </c>
      <c r="T350" s="5">
        <f>ROUND(R350*J350/K350*O350/100,10)</f>
        <v>1200</v>
      </c>
      <c r="U350" s="5" t="n">
        <v>1750</v>
      </c>
      <c r="V350" s="5" t="n">
        <v>1200</v>
      </c>
    </row>
    <row r="351" ht="20" customHeight="1">
      <c r="A351" s="10" t="n">
        <v>1201654</v>
      </c>
      <c r="B351" s="11" t="inlineStr">
        <is>
          <t>BCMi/SBMi_P207_SOREN_ARISUN Bottom جعبه الکترونیکی مونتاژ ماشینی شده</t>
        </is>
      </c>
      <c r="C351" s="11" t="inlineStr">
        <is>
          <t>13416020223</t>
        </is>
      </c>
      <c r="D351" s="11" t="inlineStr">
        <is>
          <t>1405/06/10</t>
        </is>
      </c>
      <c r="E351" s="13" t="n"/>
      <c r="F351" s="10" t="n">
        <v>2789</v>
      </c>
      <c r="G351" s="10" t="n">
        <v>1110581</v>
      </c>
      <c r="H351" s="11" t="inlineStr">
        <is>
          <t>Resistor 4.7K,5%,1/16W</t>
        </is>
      </c>
      <c r="I351" s="11" t="inlineStr">
        <is>
          <t>عدد(شمارشی)</t>
        </is>
      </c>
      <c r="J351" s="10" t="n">
        <v>8</v>
      </c>
      <c r="K351" s="10" t="n">
        <v>1</v>
      </c>
      <c r="L351" s="11" t="inlineStr">
        <is>
          <t>-</t>
        </is>
      </c>
      <c r="M351" s="13" t="n"/>
      <c r="N351" s="13" t="n"/>
      <c r="O351" s="10" t="n">
        <v>100</v>
      </c>
      <c r="P351" s="11" t="inlineStr">
        <is>
          <t>مصرف مستقیم</t>
        </is>
      </c>
      <c r="Q351" s="10">
        <f>SUMIFS('ورودی برنامه'!$D$4:$D$16,'ورودی برنامه'!$A$4:$A$16,A351,'ورودی برنامه'!$C$4:$C$16,C351)</f>
        <v>1750</v>
      </c>
      <c r="R351" s="10">
        <f>SUMIFS('ورودی برنامه'!$E$4:$E$16,'ورودی برنامه'!$A$4:$A$16,A351,'ورودی برنامه'!$C$4:$C$16,C351)</f>
        <v>1200</v>
      </c>
      <c r="S351" s="10">
        <f>ROUND(Q351*J351/K351*O351/100,10)</f>
        <v>14000</v>
      </c>
      <c r="T351" s="10">
        <f>ROUND(R351*J351/K351*O351/100,10)</f>
        <v>9600</v>
      </c>
      <c r="U351" s="10" t="n">
        <v>14000</v>
      </c>
      <c r="V351" s="10" t="n">
        <v>9600</v>
      </c>
    </row>
    <row r="352" ht="20" customHeight="1">
      <c r="A352" s="5" t="n">
        <v>1201654</v>
      </c>
      <c r="B352" s="6" t="inlineStr">
        <is>
          <t>BCMi/SBMi_P207_SOREN_ARISUN Bottom جعبه الکترونیکی مونتاژ ماشینی شده</t>
        </is>
      </c>
      <c r="C352" s="6" t="inlineStr">
        <is>
          <t>13416020223</t>
        </is>
      </c>
      <c r="D352" s="6" t="inlineStr">
        <is>
          <t>1405/06/10</t>
        </is>
      </c>
      <c r="E352" s="9" t="n"/>
      <c r="F352" s="5" t="n">
        <v>2820</v>
      </c>
      <c r="G352" s="5" t="n">
        <v>1110582</v>
      </c>
      <c r="H352" s="6" t="inlineStr">
        <is>
          <t>Resistor 470,5%,1/16W</t>
        </is>
      </c>
      <c r="I352" s="6" t="inlineStr">
        <is>
          <t>عدد(شمارشی)</t>
        </is>
      </c>
      <c r="J352" s="5" t="n">
        <v>8</v>
      </c>
      <c r="K352" s="5" t="n">
        <v>1</v>
      </c>
      <c r="L352" s="6" t="inlineStr">
        <is>
          <t>-</t>
        </is>
      </c>
      <c r="M352" s="9" t="n"/>
      <c r="N352" s="9" t="n"/>
      <c r="O352" s="5" t="n">
        <v>100</v>
      </c>
      <c r="P352" s="6" t="inlineStr">
        <is>
          <t>مصرف مستقیم</t>
        </is>
      </c>
      <c r="Q352" s="5">
        <f>SUMIFS('ورودی برنامه'!$D$4:$D$16,'ورودی برنامه'!$A$4:$A$16,A352,'ورودی برنامه'!$C$4:$C$16,C352)</f>
        <v>1750</v>
      </c>
      <c r="R352" s="5">
        <f>SUMIFS('ورودی برنامه'!$E$4:$E$16,'ورودی برنامه'!$A$4:$A$16,A352,'ورودی برنامه'!$C$4:$C$16,C352)</f>
        <v>1200</v>
      </c>
      <c r="S352" s="5">
        <f>ROUND(Q352*J352/K352*O352/100,10)</f>
        <v>14000</v>
      </c>
      <c r="T352" s="5">
        <f>ROUND(R352*J352/K352*O352/100,10)</f>
        <v>9600</v>
      </c>
      <c r="U352" s="5" t="n">
        <v>14000</v>
      </c>
      <c r="V352" s="5" t="n">
        <v>9600</v>
      </c>
    </row>
    <row r="353" ht="20" customHeight="1">
      <c r="A353" s="10" t="n">
        <v>1201654</v>
      </c>
      <c r="B353" s="11" t="inlineStr">
        <is>
          <t>BCMi/SBMi_P207_SOREN_ARISUN Bottom جعبه الکترونیکی مونتاژ ماشینی شده</t>
        </is>
      </c>
      <c r="C353" s="11" t="inlineStr">
        <is>
          <t>13416020223</t>
        </is>
      </c>
      <c r="D353" s="11" t="inlineStr">
        <is>
          <t>1405/06/10</t>
        </is>
      </c>
      <c r="E353" s="13" t="n"/>
      <c r="F353" s="10" t="n">
        <v>2841</v>
      </c>
      <c r="G353" s="10" t="n">
        <v>1110583</v>
      </c>
      <c r="H353" s="11" t="inlineStr">
        <is>
          <t>Resistor 47K,1%,1/16W</t>
        </is>
      </c>
      <c r="I353" s="11" t="inlineStr">
        <is>
          <t>عدد(شمارشی)</t>
        </is>
      </c>
      <c r="J353" s="10" t="n">
        <v>1</v>
      </c>
      <c r="K353" s="10" t="n">
        <v>1</v>
      </c>
      <c r="L353" s="11" t="inlineStr">
        <is>
          <t>-</t>
        </is>
      </c>
      <c r="M353" s="13" t="n"/>
      <c r="N353" s="13" t="n"/>
      <c r="O353" s="10" t="n">
        <v>100</v>
      </c>
      <c r="P353" s="11" t="inlineStr">
        <is>
          <t>مصرف مستقیم</t>
        </is>
      </c>
      <c r="Q353" s="10">
        <f>SUMIFS('ورودی برنامه'!$D$4:$D$16,'ورودی برنامه'!$A$4:$A$16,A353,'ورودی برنامه'!$C$4:$C$16,C353)</f>
        <v>1750</v>
      </c>
      <c r="R353" s="10">
        <f>SUMIFS('ورودی برنامه'!$E$4:$E$16,'ورودی برنامه'!$A$4:$A$16,A353,'ورودی برنامه'!$C$4:$C$16,C353)</f>
        <v>1200</v>
      </c>
      <c r="S353" s="10">
        <f>ROUND(Q353*J353/K353*O353/100,10)</f>
        <v>1750</v>
      </c>
      <c r="T353" s="10">
        <f>ROUND(R353*J353/K353*O353/100,10)</f>
        <v>1200</v>
      </c>
      <c r="U353" s="10" t="n">
        <v>1750</v>
      </c>
      <c r="V353" s="10" t="n">
        <v>1200</v>
      </c>
    </row>
    <row r="354" ht="20" customHeight="1">
      <c r="A354" s="5" t="n">
        <v>1201654</v>
      </c>
      <c r="B354" s="6" t="inlineStr">
        <is>
          <t>BCMi/SBMi_P207_SOREN_ARISUN Bottom جعبه الکترونیکی مونتاژ ماشینی شده</t>
        </is>
      </c>
      <c r="C354" s="6" t="inlineStr">
        <is>
          <t>13416020223</t>
        </is>
      </c>
      <c r="D354" s="6" t="inlineStr">
        <is>
          <t>1405/06/10</t>
        </is>
      </c>
      <c r="E354" s="9" t="n"/>
      <c r="F354" s="5" t="n">
        <v>2865</v>
      </c>
      <c r="G354" s="5" t="n">
        <v>1110584</v>
      </c>
      <c r="H354" s="6" t="inlineStr">
        <is>
          <t>Resistor 47K,5%,1/16W</t>
        </is>
      </c>
      <c r="I354" s="6" t="inlineStr">
        <is>
          <t>عدد(شمارشی)</t>
        </is>
      </c>
      <c r="J354" s="5" t="n">
        <v>1</v>
      </c>
      <c r="K354" s="5" t="n">
        <v>1</v>
      </c>
      <c r="L354" s="6" t="inlineStr">
        <is>
          <t>-</t>
        </is>
      </c>
      <c r="M354" s="9" t="n"/>
      <c r="N354" s="9" t="n"/>
      <c r="O354" s="5" t="n">
        <v>100</v>
      </c>
      <c r="P354" s="6" t="inlineStr">
        <is>
          <t>مصرف مستقیم</t>
        </is>
      </c>
      <c r="Q354" s="5">
        <f>SUMIFS('ورودی برنامه'!$D$4:$D$16,'ورودی برنامه'!$A$4:$A$16,A354,'ورودی برنامه'!$C$4:$C$16,C354)</f>
        <v>1750</v>
      </c>
      <c r="R354" s="5">
        <f>SUMIFS('ورودی برنامه'!$E$4:$E$16,'ورودی برنامه'!$A$4:$A$16,A354,'ورودی برنامه'!$C$4:$C$16,C354)</f>
        <v>1200</v>
      </c>
      <c r="S354" s="5">
        <f>ROUND(Q354*J354/K354*O354/100,10)</f>
        <v>1750</v>
      </c>
      <c r="T354" s="5">
        <f>ROUND(R354*J354/K354*O354/100,10)</f>
        <v>1200</v>
      </c>
      <c r="U354" s="5" t="n">
        <v>1750</v>
      </c>
      <c r="V354" s="5" t="n">
        <v>1200</v>
      </c>
    </row>
    <row r="355" ht="20" customHeight="1">
      <c r="A355" s="10" t="n">
        <v>1201654</v>
      </c>
      <c r="B355" s="11" t="inlineStr">
        <is>
          <t>BCMi/SBMi_P207_SOREN_ARISUN Bottom جعبه الکترونیکی مونتاژ ماشینی شده</t>
        </is>
      </c>
      <c r="C355" s="11" t="inlineStr">
        <is>
          <t>13416020223</t>
        </is>
      </c>
      <c r="D355" s="11" t="inlineStr">
        <is>
          <t>1405/06/10</t>
        </is>
      </c>
      <c r="E355" s="13" t="n"/>
      <c r="F355" s="10" t="n">
        <v>3852</v>
      </c>
      <c r="G355" s="10" t="n">
        <v>1111066</v>
      </c>
      <c r="H355" s="11" t="inlineStr">
        <is>
          <t>IC Interface TIC10024QDCPRQ1</t>
        </is>
      </c>
      <c r="I355" s="11" t="inlineStr">
        <is>
          <t>عدد(شمارشی)</t>
        </is>
      </c>
      <c r="J355" s="10" t="n">
        <v>1</v>
      </c>
      <c r="K355" s="10" t="n">
        <v>1</v>
      </c>
      <c r="L355" s="11" t="inlineStr">
        <is>
          <t>-</t>
        </is>
      </c>
      <c r="M355" s="13" t="n"/>
      <c r="N355" s="13" t="n"/>
      <c r="O355" s="10" t="n">
        <v>100</v>
      </c>
      <c r="P355" s="11" t="inlineStr">
        <is>
          <t>مصرف مستقیم</t>
        </is>
      </c>
      <c r="Q355" s="10">
        <f>SUMIFS('ورودی برنامه'!$D$4:$D$16,'ورودی برنامه'!$A$4:$A$16,A355,'ورودی برنامه'!$C$4:$C$16,C355)</f>
        <v>1750</v>
      </c>
      <c r="R355" s="10">
        <f>SUMIFS('ورودی برنامه'!$E$4:$E$16,'ورودی برنامه'!$A$4:$A$16,A355,'ورودی برنامه'!$C$4:$C$16,C355)</f>
        <v>1200</v>
      </c>
      <c r="S355" s="10">
        <f>ROUND(Q355*J355/K355*O355/100,10)</f>
        <v>1750</v>
      </c>
      <c r="T355" s="10">
        <f>ROUND(R355*J355/K355*O355/100,10)</f>
        <v>1200</v>
      </c>
      <c r="U355" s="10" t="n">
        <v>1750</v>
      </c>
      <c r="V355" s="10" t="n">
        <v>1200</v>
      </c>
    </row>
    <row r="356" ht="20" customHeight="1">
      <c r="A356" s="5" t="n">
        <v>1201654</v>
      </c>
      <c r="B356" s="6" t="inlineStr">
        <is>
          <t>BCMi/SBMi_P207_SOREN_ARISUN Bottom جعبه الکترونیکی مونتاژ ماشینی شده</t>
        </is>
      </c>
      <c r="C356" s="6" t="inlineStr">
        <is>
          <t>13416020223</t>
        </is>
      </c>
      <c r="D356" s="6" t="inlineStr">
        <is>
          <t>1405/06/10</t>
        </is>
      </c>
      <c r="E356" s="9" t="n"/>
      <c r="F356" s="5" t="n">
        <v>3877</v>
      </c>
      <c r="G356" s="5" t="n">
        <v>1101064</v>
      </c>
      <c r="H356" s="6" t="inlineStr">
        <is>
          <t>Resistor 2.7K,5%,1/16W</t>
        </is>
      </c>
      <c r="I356" s="6" t="inlineStr">
        <is>
          <t>عدد(شمارشی)</t>
        </is>
      </c>
      <c r="J356" s="5" t="n">
        <v>9</v>
      </c>
      <c r="K356" s="5" t="n">
        <v>1</v>
      </c>
      <c r="L356" s="6" t="inlineStr">
        <is>
          <t>-</t>
        </is>
      </c>
      <c r="M356" s="9" t="n"/>
      <c r="N356" s="9" t="n"/>
      <c r="O356" s="5" t="n">
        <v>100</v>
      </c>
      <c r="P356" s="6" t="inlineStr">
        <is>
          <t>مصرف مستقیم</t>
        </is>
      </c>
      <c r="Q356" s="5">
        <f>SUMIFS('ورودی برنامه'!$D$4:$D$16,'ورودی برنامه'!$A$4:$A$16,A356,'ورودی برنامه'!$C$4:$C$16,C356)</f>
        <v>1750</v>
      </c>
      <c r="R356" s="5">
        <f>SUMIFS('ورودی برنامه'!$E$4:$E$16,'ورودی برنامه'!$A$4:$A$16,A356,'ورودی برنامه'!$C$4:$C$16,C356)</f>
        <v>1200</v>
      </c>
      <c r="S356" s="5">
        <f>ROUND(Q356*J356/K356*O356/100,10)</f>
        <v>15750</v>
      </c>
      <c r="T356" s="5">
        <f>ROUND(R356*J356/K356*O356/100,10)</f>
        <v>10800</v>
      </c>
      <c r="U356" s="5" t="n">
        <v>15750</v>
      </c>
      <c r="V356" s="5" t="n">
        <v>10800</v>
      </c>
    </row>
    <row r="357" ht="20" customHeight="1">
      <c r="A357" s="10" t="n">
        <v>1201654</v>
      </c>
      <c r="B357" s="11" t="inlineStr">
        <is>
          <t>BCMi/SBMi_P207_SOREN_ARISUN Bottom جعبه الکترونیکی مونتاژ ماشینی شده</t>
        </is>
      </c>
      <c r="C357" s="11" t="inlineStr">
        <is>
          <t>13416020223</t>
        </is>
      </c>
      <c r="D357" s="11" t="inlineStr">
        <is>
          <t>1405/06/10</t>
        </is>
      </c>
      <c r="E357" s="13" t="n"/>
      <c r="F357" s="10" t="n">
        <v>5137</v>
      </c>
      <c r="G357" s="10" t="n">
        <v>1101922</v>
      </c>
      <c r="H357" s="11" t="inlineStr">
        <is>
          <t>Diode,Zener,3.3V,5%,0.5W</t>
        </is>
      </c>
      <c r="I357" s="11" t="inlineStr">
        <is>
          <t>عدد(شمارشی)</t>
        </is>
      </c>
      <c r="J357" s="10" t="n">
        <v>1</v>
      </c>
      <c r="K357" s="10" t="n">
        <v>1</v>
      </c>
      <c r="L357" s="11" t="inlineStr">
        <is>
          <t>-</t>
        </is>
      </c>
      <c r="M357" s="13" t="n"/>
      <c r="N357" s="13" t="n"/>
      <c r="O357" s="10" t="n">
        <v>100</v>
      </c>
      <c r="P357" s="11" t="inlineStr">
        <is>
          <t>مصرف مستقیم</t>
        </is>
      </c>
      <c r="Q357" s="10">
        <f>SUMIFS('ورودی برنامه'!$D$4:$D$16,'ورودی برنامه'!$A$4:$A$16,A357,'ورودی برنامه'!$C$4:$C$16,C357)</f>
        <v>1750</v>
      </c>
      <c r="R357" s="10">
        <f>SUMIFS('ورودی برنامه'!$E$4:$E$16,'ورودی برنامه'!$A$4:$A$16,A357,'ورودی برنامه'!$C$4:$C$16,C357)</f>
        <v>1200</v>
      </c>
      <c r="S357" s="10">
        <f>ROUND(Q357*J357/K357*O357/100,10)</f>
        <v>1750</v>
      </c>
      <c r="T357" s="10">
        <f>ROUND(R357*J357/K357*O357/100,10)</f>
        <v>1200</v>
      </c>
      <c r="U357" s="10" t="n">
        <v>1750</v>
      </c>
      <c r="V357" s="10" t="n">
        <v>1200</v>
      </c>
    </row>
    <row r="358" ht="20" customHeight="1">
      <c r="A358" s="5" t="n">
        <v>1201654</v>
      </c>
      <c r="B358" s="6" t="inlineStr">
        <is>
          <t>BCMi/SBMi_P207_SOREN_ARISUN Bottom جعبه الکترونیکی مونتاژ ماشینی شده</t>
        </is>
      </c>
      <c r="C358" s="6" t="inlineStr">
        <is>
          <t>13416020223</t>
        </is>
      </c>
      <c r="D358" s="6" t="inlineStr">
        <is>
          <t>1405/06/10</t>
        </is>
      </c>
      <c r="E358" s="9" t="n"/>
      <c r="F358" s="5" t="n">
        <v>5281</v>
      </c>
      <c r="G358" s="5" t="n">
        <v>1111097</v>
      </c>
      <c r="H358" s="6" t="inlineStr">
        <is>
          <t>IC CAN Transceiver TJA1055T/3</t>
        </is>
      </c>
      <c r="I358" s="6" t="inlineStr">
        <is>
          <t>عدد(شمارشی)</t>
        </is>
      </c>
      <c r="J358" s="5" t="n">
        <v>1</v>
      </c>
      <c r="K358" s="5" t="n">
        <v>1</v>
      </c>
      <c r="L358" s="6" t="inlineStr">
        <is>
          <t>-</t>
        </is>
      </c>
      <c r="M358" s="9" t="n"/>
      <c r="N358" s="9" t="n"/>
      <c r="O358" s="5" t="n">
        <v>100</v>
      </c>
      <c r="P358" s="6" t="inlineStr">
        <is>
          <t>مصرف مستقیم</t>
        </is>
      </c>
      <c r="Q358" s="5">
        <f>SUMIFS('ورودی برنامه'!$D$4:$D$16,'ورودی برنامه'!$A$4:$A$16,A358,'ورودی برنامه'!$C$4:$C$16,C358)</f>
        <v>1750</v>
      </c>
      <c r="R358" s="5">
        <f>SUMIFS('ورودی برنامه'!$E$4:$E$16,'ورودی برنامه'!$A$4:$A$16,A358,'ورودی برنامه'!$C$4:$C$16,C358)</f>
        <v>1200</v>
      </c>
      <c r="S358" s="5">
        <f>ROUND(Q358*J358/K358*O358/100,10)</f>
        <v>1750</v>
      </c>
      <c r="T358" s="5">
        <f>ROUND(R358*J358/K358*O358/100,10)</f>
        <v>1200</v>
      </c>
      <c r="U358" s="5" t="n">
        <v>1750</v>
      </c>
      <c r="V358" s="5" t="n">
        <v>1200</v>
      </c>
    </row>
    <row r="359" ht="20" customHeight="1">
      <c r="A359" s="10" t="n">
        <v>1201654</v>
      </c>
      <c r="B359" s="11" t="inlineStr">
        <is>
          <t>BCMi/SBMi_P207_SOREN_ARISUN Bottom جعبه الکترونیکی مونتاژ ماشینی شده</t>
        </is>
      </c>
      <c r="C359" s="11" t="inlineStr">
        <is>
          <t>13416020223</t>
        </is>
      </c>
      <c r="D359" s="11" t="inlineStr">
        <is>
          <t>1405/06/10</t>
        </is>
      </c>
      <c r="E359" s="13" t="n"/>
      <c r="F359" s="10" t="n">
        <v>5310</v>
      </c>
      <c r="G359" s="10" t="n">
        <v>1101075</v>
      </c>
      <c r="H359" s="11" t="inlineStr">
        <is>
          <t>Resistor,2.7K,1%,1/16W</t>
        </is>
      </c>
      <c r="I359" s="11" t="inlineStr">
        <is>
          <t>عدد(شمارشی)</t>
        </is>
      </c>
      <c r="J359" s="10" t="n">
        <v>3</v>
      </c>
      <c r="K359" s="10" t="n">
        <v>1</v>
      </c>
      <c r="L359" s="11" t="inlineStr">
        <is>
          <t>-</t>
        </is>
      </c>
      <c r="M359" s="13" t="n"/>
      <c r="N359" s="13" t="n"/>
      <c r="O359" s="10" t="n">
        <v>100</v>
      </c>
      <c r="P359" s="11" t="inlineStr">
        <is>
          <t>مصرف مستقیم</t>
        </is>
      </c>
      <c r="Q359" s="10">
        <f>SUMIFS('ورودی برنامه'!$D$4:$D$16,'ورودی برنامه'!$A$4:$A$16,A359,'ورودی برنامه'!$C$4:$C$16,C359)</f>
        <v>1750</v>
      </c>
      <c r="R359" s="10">
        <f>SUMIFS('ورودی برنامه'!$E$4:$E$16,'ورودی برنامه'!$A$4:$A$16,A359,'ورودی برنامه'!$C$4:$C$16,C359)</f>
        <v>1200</v>
      </c>
      <c r="S359" s="10">
        <f>ROUND(Q359*J359/K359*O359/100,10)</f>
        <v>5250</v>
      </c>
      <c r="T359" s="10">
        <f>ROUND(R359*J359/K359*O359/100,10)</f>
        <v>3600</v>
      </c>
      <c r="U359" s="10" t="n">
        <v>5250</v>
      </c>
      <c r="V359" s="10" t="n">
        <v>3600</v>
      </c>
    </row>
    <row r="360" ht="20" customHeight="1">
      <c r="A360" s="5" t="n">
        <v>1201654</v>
      </c>
      <c r="B360" s="6" t="inlineStr">
        <is>
          <t>BCMi/SBMi_P207_SOREN_ARISUN Bottom جعبه الکترونیکی مونتاژ ماشینی شده</t>
        </is>
      </c>
      <c r="C360" s="6" t="inlineStr">
        <is>
          <t>13416020223</t>
        </is>
      </c>
      <c r="D360" s="6" t="inlineStr">
        <is>
          <t>1405/06/10</t>
        </is>
      </c>
      <c r="E360" s="9" t="n"/>
      <c r="F360" s="5" t="n">
        <v>5392</v>
      </c>
      <c r="G360" s="5" t="n">
        <v>1110654</v>
      </c>
      <c r="H360" s="6" t="inlineStr">
        <is>
          <t>Transistor BC817-40W</t>
        </is>
      </c>
      <c r="I360" s="6" t="inlineStr">
        <is>
          <t>عدد(شمارشی)</t>
        </is>
      </c>
      <c r="J360" s="5" t="n">
        <v>6</v>
      </c>
      <c r="K360" s="5" t="n">
        <v>1</v>
      </c>
      <c r="L360" s="6" t="inlineStr">
        <is>
          <t>-</t>
        </is>
      </c>
      <c r="M360" s="9" t="n"/>
      <c r="N360" s="9" t="n"/>
      <c r="O360" s="5" t="n">
        <v>100</v>
      </c>
      <c r="P360" s="6" t="inlineStr">
        <is>
          <t>مصرف مستقیم</t>
        </is>
      </c>
      <c r="Q360" s="5">
        <f>SUMIFS('ورودی برنامه'!$D$4:$D$16,'ورودی برنامه'!$A$4:$A$16,A360,'ورودی برنامه'!$C$4:$C$16,C360)</f>
        <v>1750</v>
      </c>
      <c r="R360" s="5">
        <f>SUMIFS('ورودی برنامه'!$E$4:$E$16,'ورودی برنامه'!$A$4:$A$16,A360,'ورودی برنامه'!$C$4:$C$16,C360)</f>
        <v>1200</v>
      </c>
      <c r="S360" s="5">
        <f>ROUND(Q360*J360/K360*O360/100,10)</f>
        <v>10500</v>
      </c>
      <c r="T360" s="5">
        <f>ROUND(R360*J360/K360*O360/100,10)</f>
        <v>7200</v>
      </c>
      <c r="U360" s="5" t="n">
        <v>10500</v>
      </c>
      <c r="V360" s="5" t="n">
        <v>7200</v>
      </c>
    </row>
    <row r="361" ht="20" customHeight="1">
      <c r="A361" s="10" t="n">
        <v>1201654</v>
      </c>
      <c r="B361" s="11" t="inlineStr">
        <is>
          <t>BCMi/SBMi_P207_SOREN_ARISUN Bottom جعبه الکترونیکی مونتاژ ماشینی شده</t>
        </is>
      </c>
      <c r="C361" s="11" t="inlineStr">
        <is>
          <t>13416020223</t>
        </is>
      </c>
      <c r="D361" s="11" t="inlineStr">
        <is>
          <t>1405/06/10</t>
        </is>
      </c>
      <c r="E361" s="13" t="n"/>
      <c r="F361" s="10" t="n">
        <v>5403</v>
      </c>
      <c r="G361" s="10" t="n">
        <v>1110655</v>
      </c>
      <c r="H361" s="11" t="inlineStr">
        <is>
          <t>Transistor BC807-40W</t>
        </is>
      </c>
      <c r="I361" s="11" t="inlineStr">
        <is>
          <t>عدد(شمارشی)</t>
        </is>
      </c>
      <c r="J361" s="10" t="n">
        <v>7</v>
      </c>
      <c r="K361" s="10" t="n">
        <v>1</v>
      </c>
      <c r="L361" s="11" t="inlineStr">
        <is>
          <t>-</t>
        </is>
      </c>
      <c r="M361" s="13" t="n"/>
      <c r="N361" s="13" t="n"/>
      <c r="O361" s="10" t="n">
        <v>100</v>
      </c>
      <c r="P361" s="11" t="inlineStr">
        <is>
          <t>مصرف مستقیم</t>
        </is>
      </c>
      <c r="Q361" s="10">
        <f>SUMIFS('ورودی برنامه'!$D$4:$D$16,'ورودی برنامه'!$A$4:$A$16,A361,'ورودی برنامه'!$C$4:$C$16,C361)</f>
        <v>1750</v>
      </c>
      <c r="R361" s="10">
        <f>SUMIFS('ورودی برنامه'!$E$4:$E$16,'ورودی برنامه'!$A$4:$A$16,A361,'ورودی برنامه'!$C$4:$C$16,C361)</f>
        <v>1200</v>
      </c>
      <c r="S361" s="10">
        <f>ROUND(Q361*J361/K361*O361/100,10)</f>
        <v>12250</v>
      </c>
      <c r="T361" s="10">
        <f>ROUND(R361*J361/K361*O361/100,10)</f>
        <v>8400</v>
      </c>
      <c r="U361" s="10" t="n">
        <v>12250</v>
      </c>
      <c r="V361" s="10" t="n">
        <v>8400</v>
      </c>
    </row>
    <row r="362" ht="20" customHeight="1">
      <c r="A362" s="5" t="n">
        <v>1201654</v>
      </c>
      <c r="B362" s="6" t="inlineStr">
        <is>
          <t>BCMi/SBMi_P207_SOREN_ARISUN Bottom جعبه الکترونیکی مونتاژ ماشینی شده</t>
        </is>
      </c>
      <c r="C362" s="6" t="inlineStr">
        <is>
          <t>13416020223</t>
        </is>
      </c>
      <c r="D362" s="6" t="inlineStr">
        <is>
          <t>1405/06/10</t>
        </is>
      </c>
      <c r="E362" s="9" t="n"/>
      <c r="F362" s="5" t="n">
        <v>5436</v>
      </c>
      <c r="G362" s="5" t="n">
        <v>1100468</v>
      </c>
      <c r="H362" s="6" t="inlineStr">
        <is>
          <t>PCB SBMi</t>
        </is>
      </c>
      <c r="I362" s="6" t="inlineStr">
        <is>
          <t>عدد(شمارشی)</t>
        </is>
      </c>
      <c r="J362" s="5" t="n">
        <v>1</v>
      </c>
      <c r="K362" s="5" t="n">
        <v>1</v>
      </c>
      <c r="L362" s="6" t="inlineStr">
        <is>
          <t>-</t>
        </is>
      </c>
      <c r="M362" s="9" t="n"/>
      <c r="N362" s="9" t="n"/>
      <c r="O362" s="5" t="n">
        <v>100</v>
      </c>
      <c r="P362" s="6" t="inlineStr">
        <is>
          <t>مصرف مستقیم</t>
        </is>
      </c>
      <c r="Q362" s="5">
        <f>SUMIFS('ورودی برنامه'!$D$4:$D$16,'ورودی برنامه'!$A$4:$A$16,A362,'ورودی برنامه'!$C$4:$C$16,C362)</f>
        <v>1750</v>
      </c>
      <c r="R362" s="5">
        <f>SUMIFS('ورودی برنامه'!$E$4:$E$16,'ورودی برنامه'!$A$4:$A$16,A362,'ورودی برنامه'!$C$4:$C$16,C362)</f>
        <v>1200</v>
      </c>
      <c r="S362" s="5">
        <f>ROUND(Q362*J362/K362*O362/100,10)</f>
        <v>1750</v>
      </c>
      <c r="T362" s="5">
        <f>ROUND(R362*J362/K362*O362/100,10)</f>
        <v>1200</v>
      </c>
      <c r="U362" s="5" t="n">
        <v>1750</v>
      </c>
      <c r="V362" s="5" t="n">
        <v>1200</v>
      </c>
    </row>
    <row r="363" ht="20" customHeight="1">
      <c r="A363" s="10" t="n">
        <v>1201654</v>
      </c>
      <c r="B363" s="11" t="inlineStr">
        <is>
          <t>BCMi/SBMi_P207_SOREN_ARISUN Bottom جعبه الکترونیکی مونتاژ ماشینی شده</t>
        </is>
      </c>
      <c r="C363" s="11" t="inlineStr">
        <is>
          <t>13416020223</t>
        </is>
      </c>
      <c r="D363" s="11" t="inlineStr">
        <is>
          <t>1405/06/10</t>
        </is>
      </c>
      <c r="E363" s="13" t="n"/>
      <c r="F363" s="10" t="n">
        <v>5529</v>
      </c>
      <c r="G363" s="10" t="n">
        <v>1111832</v>
      </c>
      <c r="H363" s="11" t="inlineStr">
        <is>
          <t>Inductor 1.4Ω,Ferrite Bead,1 Line,1.8KΩ@100MHz,0.2A</t>
        </is>
      </c>
      <c r="I363" s="11" t="inlineStr">
        <is>
          <t>عدد(شمارشی)</t>
        </is>
      </c>
      <c r="J363" s="10" t="n">
        <v>1</v>
      </c>
      <c r="K363" s="10" t="n">
        <v>1</v>
      </c>
      <c r="L363" s="11" t="inlineStr">
        <is>
          <t>-</t>
        </is>
      </c>
      <c r="M363" s="13" t="n"/>
      <c r="N363" s="13" t="n"/>
      <c r="O363" s="10" t="n">
        <v>100</v>
      </c>
      <c r="P363" s="11" t="inlineStr">
        <is>
          <t>مصرف مستقیم</t>
        </is>
      </c>
      <c r="Q363" s="10">
        <f>SUMIFS('ورودی برنامه'!$D$4:$D$16,'ورودی برنامه'!$A$4:$A$16,A363,'ورودی برنامه'!$C$4:$C$16,C363)</f>
        <v>1750</v>
      </c>
      <c r="R363" s="10">
        <f>SUMIFS('ورودی برنامه'!$E$4:$E$16,'ورودی برنامه'!$A$4:$A$16,A363,'ورودی برنامه'!$C$4:$C$16,C363)</f>
        <v>1200</v>
      </c>
      <c r="S363" s="10">
        <f>ROUND(Q363*J363/K363*O363/100,10)</f>
        <v>1750</v>
      </c>
      <c r="T363" s="10">
        <f>ROUND(R363*J363/K363*O363/100,10)</f>
        <v>1200</v>
      </c>
      <c r="U363" s="10" t="n">
        <v>1750</v>
      </c>
      <c r="V363" s="10" t="n">
        <v>1200</v>
      </c>
    </row>
    <row r="364" ht="20" customHeight="1">
      <c r="A364" s="5" t="n">
        <v>1201654</v>
      </c>
      <c r="B364" s="6" t="inlineStr">
        <is>
          <t>BCMi/SBMi_P207_SOREN_ARISUN Bottom جعبه الکترونیکی مونتاژ ماشینی شده</t>
        </is>
      </c>
      <c r="C364" s="6" t="inlineStr">
        <is>
          <t>13416020223</t>
        </is>
      </c>
      <c r="D364" s="6" t="inlineStr">
        <is>
          <t>1405/06/10</t>
        </is>
      </c>
      <c r="E364" s="9" t="n"/>
      <c r="F364" s="5" t="n">
        <v>6035</v>
      </c>
      <c r="G364" s="5" t="n">
        <v>1110303</v>
      </c>
      <c r="H364" s="6" t="inlineStr">
        <is>
          <t>Resistor 4.7K,5%,1/12W</t>
        </is>
      </c>
      <c r="I364" s="6" t="inlineStr">
        <is>
          <t>عدد</t>
        </is>
      </c>
      <c r="J364" s="5" t="n">
        <v>6</v>
      </c>
      <c r="K364" s="5" t="n">
        <v>1</v>
      </c>
      <c r="L364" s="6" t="inlineStr">
        <is>
          <t>5</t>
        </is>
      </c>
      <c r="M364" s="5" t="n">
        <v>1</v>
      </c>
      <c r="N364" s="5" t="n">
        <v>50</v>
      </c>
      <c r="O364" s="5">
        <f>N364</f>
        <v>50</v>
      </c>
      <c r="P364" s="6" t="inlineStr">
        <is>
          <t>سهم درصد استفاده BOM</t>
        </is>
      </c>
      <c r="Q364" s="5">
        <f>SUMIFS('ورودی برنامه'!$D$4:$D$16,'ورودی برنامه'!$A$4:$A$16,A364,'ورودی برنامه'!$C$4:$C$16,C364)</f>
        <v>1750</v>
      </c>
      <c r="R364" s="5">
        <f>SUMIFS('ورودی برنامه'!$E$4:$E$16,'ورودی برنامه'!$A$4:$A$16,A364,'ورودی برنامه'!$C$4:$C$16,C364)</f>
        <v>1200</v>
      </c>
      <c r="S364" s="5">
        <f>ROUND(Q364*J364/K364*O364/100,10)</f>
        <v>5250</v>
      </c>
      <c r="T364" s="5">
        <f>ROUND(R364*J364/K364*O364/100,10)</f>
        <v>3600</v>
      </c>
      <c r="U364" s="5" t="n">
        <v>10500</v>
      </c>
      <c r="V364" s="5" t="n">
        <v>7200</v>
      </c>
    </row>
    <row r="365" ht="20" customHeight="1">
      <c r="A365" s="10" t="n">
        <v>1201654</v>
      </c>
      <c r="B365" s="11" t="inlineStr">
        <is>
          <t>BCMi/SBMi_P207_SOREN_ARISUN Bottom جعبه الکترونیکی مونتاژ ماشینی شده</t>
        </is>
      </c>
      <c r="C365" s="11" t="inlineStr">
        <is>
          <t>13416020223</t>
        </is>
      </c>
      <c r="D365" s="11" t="inlineStr">
        <is>
          <t>1405/06/10</t>
        </is>
      </c>
      <c r="E365" s="13" t="n"/>
      <c r="F365" s="10" t="n">
        <v>7094</v>
      </c>
      <c r="G365" s="10" t="n">
        <v>1110229</v>
      </c>
      <c r="H365" s="11" t="inlineStr">
        <is>
          <t>Resistor 680,5%,1/4W.</t>
        </is>
      </c>
      <c r="I365" s="11" t="inlineStr">
        <is>
          <t>عدد</t>
        </is>
      </c>
      <c r="J365" s="10" t="n">
        <v>1</v>
      </c>
      <c r="K365" s="10" t="n">
        <v>1</v>
      </c>
      <c r="L365" s="11" t="inlineStr">
        <is>
          <t>4</t>
        </is>
      </c>
      <c r="M365" s="10" t="n">
        <v>1</v>
      </c>
      <c r="N365" s="10" t="n">
        <v>50</v>
      </c>
      <c r="O365" s="10">
        <f>N365</f>
        <v>50</v>
      </c>
      <c r="P365" s="11" t="inlineStr">
        <is>
          <t>سهم درصد استفاده BOM</t>
        </is>
      </c>
      <c r="Q365" s="10">
        <f>SUMIFS('ورودی برنامه'!$D$4:$D$16,'ورودی برنامه'!$A$4:$A$16,A365,'ورودی برنامه'!$C$4:$C$16,C365)</f>
        <v>1750</v>
      </c>
      <c r="R365" s="10">
        <f>SUMIFS('ورودی برنامه'!$E$4:$E$16,'ورودی برنامه'!$A$4:$A$16,A365,'ورودی برنامه'!$C$4:$C$16,C365)</f>
        <v>1200</v>
      </c>
      <c r="S365" s="10">
        <f>ROUND(Q365*J365/K365*O365/100,10)</f>
        <v>875</v>
      </c>
      <c r="T365" s="10">
        <f>ROUND(R365*J365/K365*O365/100,10)</f>
        <v>600</v>
      </c>
      <c r="U365" s="10" t="n">
        <v>1750</v>
      </c>
      <c r="V365" s="10" t="n">
        <v>1200</v>
      </c>
    </row>
    <row r="366" ht="20" customHeight="1">
      <c r="A366" s="5" t="n">
        <v>1201654</v>
      </c>
      <c r="B366" s="6" t="inlineStr">
        <is>
          <t>BCMi/SBMi_P207_SOREN_ARISUN Bottom جعبه الکترونیکی مونتاژ ماشینی شده</t>
        </is>
      </c>
      <c r="C366" s="6" t="inlineStr">
        <is>
          <t>13416020223</t>
        </is>
      </c>
      <c r="D366" s="6" t="inlineStr">
        <is>
          <t>1405/06/10</t>
        </is>
      </c>
      <c r="E366" s="9" t="n"/>
      <c r="F366" s="5" t="n">
        <v>9291</v>
      </c>
      <c r="G366" s="5" t="n">
        <v>1110075</v>
      </c>
      <c r="H366" s="6" t="inlineStr">
        <is>
          <t>Capacitor 10N,50V,X7R,10%</t>
        </is>
      </c>
      <c r="I366" s="6" t="inlineStr">
        <is>
          <t>عدد</t>
        </is>
      </c>
      <c r="J366" s="5" t="n">
        <v>1</v>
      </c>
      <c r="K366" s="5" t="n">
        <v>1</v>
      </c>
      <c r="L366" s="6" t="inlineStr">
        <is>
          <t>-</t>
        </is>
      </c>
      <c r="M366" s="9" t="n"/>
      <c r="N366" s="9" t="n"/>
      <c r="O366" s="5" t="n">
        <v>100</v>
      </c>
      <c r="P366" s="6" t="inlineStr">
        <is>
          <t>مصرف مستقیم</t>
        </is>
      </c>
      <c r="Q366" s="5">
        <f>SUMIFS('ورودی برنامه'!$D$4:$D$16,'ورودی برنامه'!$A$4:$A$16,A366,'ورودی برنامه'!$C$4:$C$16,C366)</f>
        <v>1750</v>
      </c>
      <c r="R366" s="5">
        <f>SUMIFS('ورودی برنامه'!$E$4:$E$16,'ورودی برنامه'!$A$4:$A$16,A366,'ورودی برنامه'!$C$4:$C$16,C366)</f>
        <v>1200</v>
      </c>
      <c r="S366" s="5">
        <f>ROUND(Q366*J366/K366*O366/100,10)</f>
        <v>1750</v>
      </c>
      <c r="T366" s="5">
        <f>ROUND(R366*J366/K366*O366/100,10)</f>
        <v>1200</v>
      </c>
      <c r="U366" s="5" t="n">
        <v>1750</v>
      </c>
      <c r="V366" s="5" t="n">
        <v>1200</v>
      </c>
    </row>
    <row r="367" ht="20" customHeight="1">
      <c r="A367" s="10" t="n">
        <v>1201654</v>
      </c>
      <c r="B367" s="11" t="inlineStr">
        <is>
          <t>BCMi/SBMi_P207_SOREN_ARISUN Bottom جعبه الکترونیکی مونتاژ ماشینی شده</t>
        </is>
      </c>
      <c r="C367" s="11" t="inlineStr">
        <is>
          <t>13416020223</t>
        </is>
      </c>
      <c r="D367" s="11" t="inlineStr">
        <is>
          <t>1405/06/10</t>
        </is>
      </c>
      <c r="E367" s="13" t="n"/>
      <c r="F367" s="10" t="n">
        <v>10847</v>
      </c>
      <c r="G367" s="10" t="n">
        <v>1110226</v>
      </c>
      <c r="H367" s="11" t="inlineStr">
        <is>
          <t>Resistor 560,5%,1/4w</t>
        </is>
      </c>
      <c r="I367" s="11" t="inlineStr">
        <is>
          <t>عدد</t>
        </is>
      </c>
      <c r="J367" s="10" t="n">
        <v>3</v>
      </c>
      <c r="K367" s="10" t="n">
        <v>1</v>
      </c>
      <c r="L367" s="11" t="inlineStr">
        <is>
          <t>7</t>
        </is>
      </c>
      <c r="M367" s="10" t="n">
        <v>1</v>
      </c>
      <c r="N367" s="10" t="n">
        <v>50</v>
      </c>
      <c r="O367" s="10">
        <f>N367</f>
        <v>50</v>
      </c>
      <c r="P367" s="11" t="inlineStr">
        <is>
          <t>سهم درصد استفاده BOM</t>
        </is>
      </c>
      <c r="Q367" s="10">
        <f>SUMIFS('ورودی برنامه'!$D$4:$D$16,'ورودی برنامه'!$A$4:$A$16,A367,'ورودی برنامه'!$C$4:$C$16,C367)</f>
        <v>1750</v>
      </c>
      <c r="R367" s="10">
        <f>SUMIFS('ورودی برنامه'!$E$4:$E$16,'ورودی برنامه'!$A$4:$A$16,A367,'ورودی برنامه'!$C$4:$C$16,C367)</f>
        <v>1200</v>
      </c>
      <c r="S367" s="10">
        <f>ROUND(Q367*J367/K367*O367/100,10)</f>
        <v>2625</v>
      </c>
      <c r="T367" s="10">
        <f>ROUND(R367*J367/K367*O367/100,10)</f>
        <v>1800</v>
      </c>
      <c r="U367" s="10" t="n">
        <v>5250</v>
      </c>
      <c r="V367" s="10" t="n">
        <v>3600</v>
      </c>
    </row>
    <row r="368" ht="20" customHeight="1">
      <c r="A368" s="5" t="n">
        <v>1201654</v>
      </c>
      <c r="B368" s="6" t="inlineStr">
        <is>
          <t>BCMi/SBMi_P207_SOREN_ARISUN Bottom جعبه الکترونیکی مونتاژ ماشینی شده</t>
        </is>
      </c>
      <c r="C368" s="6" t="inlineStr">
        <is>
          <t>13416020223</t>
        </is>
      </c>
      <c r="D368" s="6" t="inlineStr">
        <is>
          <t>1405/06/10</t>
        </is>
      </c>
      <c r="E368" s="9" t="n"/>
      <c r="F368" s="5" t="n">
        <v>11227</v>
      </c>
      <c r="G368" s="5" t="n">
        <v>1110284</v>
      </c>
      <c r="H368" s="6" t="inlineStr">
        <is>
          <t>Resistor 1.2K,5%,1/4W</t>
        </is>
      </c>
      <c r="I368" s="6" t="inlineStr">
        <is>
          <t>عدد</t>
        </is>
      </c>
      <c r="J368" s="5" t="n">
        <v>9</v>
      </c>
      <c r="K368" s="5" t="n">
        <v>1</v>
      </c>
      <c r="L368" s="6" t="inlineStr">
        <is>
          <t>-</t>
        </is>
      </c>
      <c r="M368" s="9" t="n"/>
      <c r="N368" s="9" t="n"/>
      <c r="O368" s="5" t="n">
        <v>100</v>
      </c>
      <c r="P368" s="6" t="inlineStr">
        <is>
          <t>مصرف مستقیم</t>
        </is>
      </c>
      <c r="Q368" s="5">
        <f>SUMIFS('ورودی برنامه'!$D$4:$D$16,'ورودی برنامه'!$A$4:$A$16,A368,'ورودی برنامه'!$C$4:$C$16,C368)</f>
        <v>1750</v>
      </c>
      <c r="R368" s="5">
        <f>SUMIFS('ورودی برنامه'!$E$4:$E$16,'ورودی برنامه'!$A$4:$A$16,A368,'ورودی برنامه'!$C$4:$C$16,C368)</f>
        <v>1200</v>
      </c>
      <c r="S368" s="5">
        <f>ROUND(Q368*J368/K368*O368/100,10)</f>
        <v>15750</v>
      </c>
      <c r="T368" s="5">
        <f>ROUND(R368*J368/K368*O368/100,10)</f>
        <v>10800</v>
      </c>
      <c r="U368" s="5" t="n">
        <v>15750</v>
      </c>
      <c r="V368" s="5" t="n">
        <v>10800</v>
      </c>
    </row>
    <row r="369" ht="20" customHeight="1">
      <c r="A369" s="10" t="n">
        <v>1201654</v>
      </c>
      <c r="B369" s="11" t="inlineStr">
        <is>
          <t>BCMi/SBMi_P207_SOREN_ARISUN Bottom جعبه الکترونیکی مونتاژ ماشینی شده</t>
        </is>
      </c>
      <c r="C369" s="11" t="inlineStr">
        <is>
          <t>13416020223</t>
        </is>
      </c>
      <c r="D369" s="11" t="inlineStr">
        <is>
          <t>1405/06/10</t>
        </is>
      </c>
      <c r="E369" s="13" t="n"/>
      <c r="F369" s="10" t="n">
        <v>12982</v>
      </c>
      <c r="G369" s="10" t="n">
        <v>1110604</v>
      </c>
      <c r="H369" s="11" t="inlineStr">
        <is>
          <t>Transistor BC807-40</t>
        </is>
      </c>
      <c r="I369" s="11" t="inlineStr">
        <is>
          <t>عدد</t>
        </is>
      </c>
      <c r="J369" s="10" t="n">
        <v>1</v>
      </c>
      <c r="K369" s="10" t="n">
        <v>1</v>
      </c>
      <c r="L369" s="11" t="inlineStr">
        <is>
          <t>-</t>
        </is>
      </c>
      <c r="M369" s="13" t="n"/>
      <c r="N369" s="13" t="n"/>
      <c r="O369" s="10" t="n">
        <v>100</v>
      </c>
      <c r="P369" s="11" t="inlineStr">
        <is>
          <t>مصرف مستقیم</t>
        </is>
      </c>
      <c r="Q369" s="10">
        <f>SUMIFS('ورودی برنامه'!$D$4:$D$16,'ورودی برنامه'!$A$4:$A$16,A369,'ورودی برنامه'!$C$4:$C$16,C369)</f>
        <v>1750</v>
      </c>
      <c r="R369" s="10">
        <f>SUMIFS('ورودی برنامه'!$E$4:$E$16,'ورودی برنامه'!$A$4:$A$16,A369,'ورودی برنامه'!$C$4:$C$16,C369)</f>
        <v>1200</v>
      </c>
      <c r="S369" s="10">
        <f>ROUND(Q369*J369/K369*O369/100,10)</f>
        <v>1750</v>
      </c>
      <c r="T369" s="10">
        <f>ROUND(R369*J369/K369*O369/100,10)</f>
        <v>1200</v>
      </c>
      <c r="U369" s="10" t="n">
        <v>1750</v>
      </c>
      <c r="V369" s="10" t="n">
        <v>1200</v>
      </c>
    </row>
    <row r="370" ht="20" customHeight="1">
      <c r="A370" s="5" t="n">
        <v>1201654</v>
      </c>
      <c r="B370" s="6" t="inlineStr">
        <is>
          <t>BCMi/SBMi_P207_SOREN_ARISUN Bottom جعبه الکترونیکی مونتاژ ماشینی شده</t>
        </is>
      </c>
      <c r="C370" s="6" t="inlineStr">
        <is>
          <t>13416020223</t>
        </is>
      </c>
      <c r="D370" s="6" t="inlineStr">
        <is>
          <t>1405/06/10</t>
        </is>
      </c>
      <c r="E370" s="9" t="n"/>
      <c r="F370" s="5" t="n">
        <v>14743</v>
      </c>
      <c r="G370" s="5" t="n">
        <v>1110242</v>
      </c>
      <c r="H370" s="6" t="inlineStr">
        <is>
          <t>Resistor 680,1%,1/4W.</t>
        </is>
      </c>
      <c r="I370" s="6" t="inlineStr">
        <is>
          <t>عدد</t>
        </is>
      </c>
      <c r="J370" s="5" t="n">
        <v>1</v>
      </c>
      <c r="K370" s="5" t="n">
        <v>1</v>
      </c>
      <c r="L370" s="6" t="inlineStr">
        <is>
          <t>4</t>
        </is>
      </c>
      <c r="M370" s="5" t="n">
        <v>2</v>
      </c>
      <c r="N370" s="5" t="n">
        <v>50</v>
      </c>
      <c r="O370" s="5">
        <f>N370</f>
        <v>50</v>
      </c>
      <c r="P370" s="6" t="inlineStr">
        <is>
          <t>سهم درصد استفاده BOM</t>
        </is>
      </c>
      <c r="Q370" s="5">
        <f>SUMIFS('ورودی برنامه'!$D$4:$D$16,'ورودی برنامه'!$A$4:$A$16,A370,'ورودی برنامه'!$C$4:$C$16,C370)</f>
        <v>1750</v>
      </c>
      <c r="R370" s="5">
        <f>SUMIFS('ورودی برنامه'!$E$4:$E$16,'ورودی برنامه'!$A$4:$A$16,A370,'ورودی برنامه'!$C$4:$C$16,C370)</f>
        <v>1200</v>
      </c>
      <c r="S370" s="5">
        <f>ROUND(Q370*J370/K370*O370/100,10)</f>
        <v>875</v>
      </c>
      <c r="T370" s="5">
        <f>ROUND(R370*J370/K370*O370/100,10)</f>
        <v>600</v>
      </c>
      <c r="U370" s="5" t="n">
        <v>0</v>
      </c>
      <c r="V370" s="5" t="n">
        <v>0</v>
      </c>
    </row>
    <row r="371" ht="20" customHeight="1">
      <c r="A371" s="10" t="n">
        <v>1201654</v>
      </c>
      <c r="B371" s="11" t="inlineStr">
        <is>
          <t>BCMi/SBMi_P207_SOREN_ARISUN Bottom جعبه الکترونیکی مونتاژ ماشینی شده</t>
        </is>
      </c>
      <c r="C371" s="11" t="inlineStr">
        <is>
          <t>13416020223</t>
        </is>
      </c>
      <c r="D371" s="11" t="inlineStr">
        <is>
          <t>1405/06/10</t>
        </is>
      </c>
      <c r="E371" s="13" t="n"/>
      <c r="F371" s="10" t="n">
        <v>15119</v>
      </c>
      <c r="G371" s="10" t="n">
        <v>1110247</v>
      </c>
      <c r="H371" s="11" t="inlineStr">
        <is>
          <t>Resistor 560,1%,1/4w</t>
        </is>
      </c>
      <c r="I371" s="11" t="inlineStr">
        <is>
          <t>عدد</t>
        </is>
      </c>
      <c r="J371" s="10" t="n">
        <v>3</v>
      </c>
      <c r="K371" s="10" t="n">
        <v>1</v>
      </c>
      <c r="L371" s="11" t="inlineStr">
        <is>
          <t>7</t>
        </is>
      </c>
      <c r="M371" s="10" t="n">
        <v>2</v>
      </c>
      <c r="N371" s="10" t="n">
        <v>50</v>
      </c>
      <c r="O371" s="10">
        <f>N371</f>
        <v>50</v>
      </c>
      <c r="P371" s="11" t="inlineStr">
        <is>
          <t>سهم درصد استفاده BOM</t>
        </is>
      </c>
      <c r="Q371" s="10">
        <f>SUMIFS('ورودی برنامه'!$D$4:$D$16,'ورودی برنامه'!$A$4:$A$16,A371,'ورودی برنامه'!$C$4:$C$16,C371)</f>
        <v>1750</v>
      </c>
      <c r="R371" s="10">
        <f>SUMIFS('ورودی برنامه'!$E$4:$E$16,'ورودی برنامه'!$A$4:$A$16,A371,'ورودی برنامه'!$C$4:$C$16,C371)</f>
        <v>1200</v>
      </c>
      <c r="S371" s="10">
        <f>ROUND(Q371*J371/K371*O371/100,10)</f>
        <v>2625</v>
      </c>
      <c r="T371" s="10">
        <f>ROUND(R371*J371/K371*O371/100,10)</f>
        <v>1800</v>
      </c>
      <c r="U371" s="10" t="n">
        <v>0</v>
      </c>
      <c r="V371" s="10" t="n">
        <v>0</v>
      </c>
    </row>
    <row r="372" ht="20" customHeight="1">
      <c r="A372" s="5" t="n">
        <v>1201654</v>
      </c>
      <c r="B372" s="6" t="inlineStr">
        <is>
          <t>BCMi/SBMi_P207_SOREN_ARISUN Bottom جعبه الکترونیکی مونتاژ ماشینی شده</t>
        </is>
      </c>
      <c r="C372" s="6" t="inlineStr">
        <is>
          <t>13416020223</t>
        </is>
      </c>
      <c r="D372" s="6" t="inlineStr">
        <is>
          <t>1405/06/10</t>
        </is>
      </c>
      <c r="E372" s="9" t="n"/>
      <c r="F372" s="5" t="n">
        <v>15325</v>
      </c>
      <c r="G372" s="5" t="n">
        <v>1110248</v>
      </c>
      <c r="H372" s="6" t="inlineStr">
        <is>
          <t>Resistor 100,1%,1/4W</t>
        </is>
      </c>
      <c r="I372" s="6" t="inlineStr">
        <is>
          <t>عدد</t>
        </is>
      </c>
      <c r="J372" s="5" t="n">
        <v>2</v>
      </c>
      <c r="K372" s="5" t="n">
        <v>1</v>
      </c>
      <c r="L372" s="6" t="inlineStr">
        <is>
          <t>9</t>
        </is>
      </c>
      <c r="M372" s="5" t="n">
        <v>2</v>
      </c>
      <c r="N372" s="5" t="n">
        <v>50</v>
      </c>
      <c r="O372" s="5">
        <f>N372</f>
        <v>50</v>
      </c>
      <c r="P372" s="6" t="inlineStr">
        <is>
          <t>سهم درصد استفاده BOM</t>
        </is>
      </c>
      <c r="Q372" s="5">
        <f>SUMIFS('ورودی برنامه'!$D$4:$D$16,'ورودی برنامه'!$A$4:$A$16,A372,'ورودی برنامه'!$C$4:$C$16,C372)</f>
        <v>1750</v>
      </c>
      <c r="R372" s="5">
        <f>SUMIFS('ورودی برنامه'!$E$4:$E$16,'ورودی برنامه'!$A$4:$A$16,A372,'ورودی برنامه'!$C$4:$C$16,C372)</f>
        <v>1200</v>
      </c>
      <c r="S372" s="5">
        <f>ROUND(Q372*J372/K372*O372/100,10)</f>
        <v>1750</v>
      </c>
      <c r="T372" s="5">
        <f>ROUND(R372*J372/K372*O372/100,10)</f>
        <v>1200</v>
      </c>
      <c r="U372" s="5" t="n">
        <v>0</v>
      </c>
      <c r="V372" s="5" t="n">
        <v>0</v>
      </c>
    </row>
    <row r="373" ht="20" customHeight="1">
      <c r="A373" s="10" t="n">
        <v>1201654</v>
      </c>
      <c r="B373" s="11" t="inlineStr">
        <is>
          <t>BCMi/SBMi_P207_SOREN_ARISUN Bottom جعبه الکترونیکی مونتاژ ماشینی شده</t>
        </is>
      </c>
      <c r="C373" s="11" t="inlineStr">
        <is>
          <t>13416020223</t>
        </is>
      </c>
      <c r="D373" s="11" t="inlineStr">
        <is>
          <t>1405/06/10</t>
        </is>
      </c>
      <c r="E373" s="13" t="n"/>
      <c r="F373" s="10" t="n">
        <v>16692</v>
      </c>
      <c r="G373" s="10" t="n">
        <v>1110364</v>
      </c>
      <c r="H373" s="11" t="inlineStr">
        <is>
          <t>Resistor 1.8K,5%,1/4W</t>
        </is>
      </c>
      <c r="I373" s="11" t="inlineStr">
        <is>
          <t>عدد</t>
        </is>
      </c>
      <c r="J373" s="10" t="n">
        <v>8</v>
      </c>
      <c r="K373" s="10" t="n">
        <v>1</v>
      </c>
      <c r="L373" s="11" t="inlineStr">
        <is>
          <t>-</t>
        </is>
      </c>
      <c r="M373" s="13" t="n"/>
      <c r="N373" s="13" t="n"/>
      <c r="O373" s="10" t="n">
        <v>100</v>
      </c>
      <c r="P373" s="11" t="inlineStr">
        <is>
          <t>مصرف مستقیم</t>
        </is>
      </c>
      <c r="Q373" s="10">
        <f>SUMIFS('ورودی برنامه'!$D$4:$D$16,'ورودی برنامه'!$A$4:$A$16,A373,'ورودی برنامه'!$C$4:$C$16,C373)</f>
        <v>1750</v>
      </c>
      <c r="R373" s="10">
        <f>SUMIFS('ورودی برنامه'!$E$4:$E$16,'ورودی برنامه'!$A$4:$A$16,A373,'ورودی برنامه'!$C$4:$C$16,C373)</f>
        <v>1200</v>
      </c>
      <c r="S373" s="10">
        <f>ROUND(Q373*J373/K373*O373/100,10)</f>
        <v>14000</v>
      </c>
      <c r="T373" s="10">
        <f>ROUND(R373*J373/K373*O373/100,10)</f>
        <v>9600</v>
      </c>
      <c r="U373" s="10" t="n">
        <v>14000</v>
      </c>
      <c r="V373" s="10" t="n">
        <v>9600</v>
      </c>
    </row>
    <row r="374" ht="20" customHeight="1">
      <c r="A374" s="5" t="n">
        <v>1201654</v>
      </c>
      <c r="B374" s="6" t="inlineStr">
        <is>
          <t>BCMi/SBMi_P207_SOREN_ARISUN Bottom جعبه الکترونیکی مونتاژ ماشینی شده</t>
        </is>
      </c>
      <c r="C374" s="6" t="inlineStr">
        <is>
          <t>13416020223</t>
        </is>
      </c>
      <c r="D374" s="6" t="inlineStr">
        <is>
          <t>1405/06/10</t>
        </is>
      </c>
      <c r="E374" s="9" t="n"/>
      <c r="F374" s="5" t="n">
        <v>22358</v>
      </c>
      <c r="G374" s="5" t="n">
        <v>1110375</v>
      </c>
      <c r="H374" s="6" t="inlineStr">
        <is>
          <t>Resistor 100,5%,1/4 W</t>
        </is>
      </c>
      <c r="I374" s="6" t="inlineStr">
        <is>
          <t>عدد</t>
        </is>
      </c>
      <c r="J374" s="5" t="n">
        <v>2</v>
      </c>
      <c r="K374" s="5" t="n">
        <v>1</v>
      </c>
      <c r="L374" s="6" t="inlineStr">
        <is>
          <t>9</t>
        </is>
      </c>
      <c r="M374" s="5" t="n">
        <v>1</v>
      </c>
      <c r="N374" s="5" t="n">
        <v>50</v>
      </c>
      <c r="O374" s="5">
        <f>N374</f>
        <v>50</v>
      </c>
      <c r="P374" s="6" t="inlineStr">
        <is>
          <t>سهم درصد استفاده BOM</t>
        </is>
      </c>
      <c r="Q374" s="5">
        <f>SUMIFS('ورودی برنامه'!$D$4:$D$16,'ورودی برنامه'!$A$4:$A$16,A374,'ورودی برنامه'!$C$4:$C$16,C374)</f>
        <v>1750</v>
      </c>
      <c r="R374" s="5">
        <f>SUMIFS('ورودی برنامه'!$E$4:$E$16,'ورودی برنامه'!$A$4:$A$16,A374,'ورودی برنامه'!$C$4:$C$16,C374)</f>
        <v>1200</v>
      </c>
      <c r="S374" s="5">
        <f>ROUND(Q374*J374/K374*O374/100,10)</f>
        <v>1750</v>
      </c>
      <c r="T374" s="5">
        <f>ROUND(R374*J374/K374*O374/100,10)</f>
        <v>1200</v>
      </c>
      <c r="U374" s="5" t="n">
        <v>3500</v>
      </c>
      <c r="V374" s="5" t="n">
        <v>2400</v>
      </c>
    </row>
    <row r="375" ht="20" customHeight="1">
      <c r="A375" s="10" t="n">
        <v>1201654</v>
      </c>
      <c r="B375" s="11" t="inlineStr">
        <is>
          <t>BCMi/SBMi_P207_SOREN_ARISUN Bottom جعبه الکترونیکی مونتاژ ماشینی شده</t>
        </is>
      </c>
      <c r="C375" s="11" t="inlineStr">
        <is>
          <t>13416020223</t>
        </is>
      </c>
      <c r="D375" s="11" t="inlineStr">
        <is>
          <t>1405/06/10</t>
        </is>
      </c>
      <c r="E375" s="13" t="n"/>
      <c r="F375" s="10" t="n">
        <v>24208</v>
      </c>
      <c r="G375" s="10" t="n">
        <v>1110095</v>
      </c>
      <c r="H375" s="11" t="inlineStr">
        <is>
          <t>Capacitor 100nF,X7R,50V,10%</t>
        </is>
      </c>
      <c r="I375" s="11" t="inlineStr">
        <is>
          <t>عدد</t>
        </is>
      </c>
      <c r="J375" s="10" t="n">
        <v>5</v>
      </c>
      <c r="K375" s="10" t="n">
        <v>1</v>
      </c>
      <c r="L375" s="11" t="inlineStr">
        <is>
          <t>-</t>
        </is>
      </c>
      <c r="M375" s="13" t="n"/>
      <c r="N375" s="13" t="n"/>
      <c r="O375" s="10" t="n">
        <v>100</v>
      </c>
      <c r="P375" s="11" t="inlineStr">
        <is>
          <t>مصرف مستقیم</t>
        </is>
      </c>
      <c r="Q375" s="10">
        <f>SUMIFS('ورودی برنامه'!$D$4:$D$16,'ورودی برنامه'!$A$4:$A$16,A375,'ورودی برنامه'!$C$4:$C$16,C375)</f>
        <v>1750</v>
      </c>
      <c r="R375" s="10">
        <f>SUMIFS('ورودی برنامه'!$E$4:$E$16,'ورودی برنامه'!$A$4:$A$16,A375,'ورودی برنامه'!$C$4:$C$16,C375)</f>
        <v>1200</v>
      </c>
      <c r="S375" s="10">
        <f>ROUND(Q375*J375/K375*O375/100,10)</f>
        <v>8750</v>
      </c>
      <c r="T375" s="10">
        <f>ROUND(R375*J375/K375*O375/100,10)</f>
        <v>6000</v>
      </c>
      <c r="U375" s="10" t="n">
        <v>8750</v>
      </c>
      <c r="V375" s="10" t="n">
        <v>6000</v>
      </c>
    </row>
    <row r="376" ht="20" customHeight="1">
      <c r="A376" s="5" t="n">
        <v>1201654</v>
      </c>
      <c r="B376" s="6" t="inlineStr">
        <is>
          <t>BCMi/SBMi_P207_SOREN_ARISUN Bottom جعبه الکترونیکی مونتاژ ماشینی شده</t>
        </is>
      </c>
      <c r="C376" s="6" t="inlineStr">
        <is>
          <t>13416020223</t>
        </is>
      </c>
      <c r="D376" s="6" t="inlineStr">
        <is>
          <t>1405/06/10</t>
        </is>
      </c>
      <c r="E376" s="9" t="n"/>
      <c r="F376" s="5" t="n">
        <v>24497</v>
      </c>
      <c r="G376" s="5" t="n">
        <v>1110914</v>
      </c>
      <c r="H376" s="6" t="inlineStr">
        <is>
          <t>Diode BAV99WT1G</t>
        </is>
      </c>
      <c r="I376" s="6" t="inlineStr">
        <is>
          <t>عدد</t>
        </is>
      </c>
      <c r="J376" s="5" t="n">
        <v>14</v>
      </c>
      <c r="K376" s="5" t="n">
        <v>1</v>
      </c>
      <c r="L376" s="6" t="inlineStr">
        <is>
          <t>-</t>
        </is>
      </c>
      <c r="M376" s="9" t="n"/>
      <c r="N376" s="9" t="n"/>
      <c r="O376" s="5" t="n">
        <v>100</v>
      </c>
      <c r="P376" s="6" t="inlineStr">
        <is>
          <t>مصرف مستقیم</t>
        </is>
      </c>
      <c r="Q376" s="5">
        <f>SUMIFS('ورودی برنامه'!$D$4:$D$16,'ورودی برنامه'!$A$4:$A$16,A376,'ورودی برنامه'!$C$4:$C$16,C376)</f>
        <v>1750</v>
      </c>
      <c r="R376" s="5">
        <f>SUMIFS('ورودی برنامه'!$E$4:$E$16,'ورودی برنامه'!$A$4:$A$16,A376,'ورودی برنامه'!$C$4:$C$16,C376)</f>
        <v>1200</v>
      </c>
      <c r="S376" s="5">
        <f>ROUND(Q376*J376/K376*O376/100,10)</f>
        <v>24500</v>
      </c>
      <c r="T376" s="5">
        <f>ROUND(R376*J376/K376*O376/100,10)</f>
        <v>16800</v>
      </c>
      <c r="U376" s="5" t="n">
        <v>24500</v>
      </c>
      <c r="V376" s="5" t="n">
        <v>16800</v>
      </c>
    </row>
    <row r="377" ht="20" customHeight="1">
      <c r="A377" s="10" t="n">
        <v>1201654</v>
      </c>
      <c r="B377" s="11" t="inlineStr">
        <is>
          <t>BCMi/SBMi_P207_SOREN_ARISUN Bottom جعبه الکترونیکی مونتاژ ماشینی شده</t>
        </is>
      </c>
      <c r="C377" s="11" t="inlineStr">
        <is>
          <t>13416020223</t>
        </is>
      </c>
      <c r="D377" s="11" t="inlineStr">
        <is>
          <t>1405/06/10</t>
        </is>
      </c>
      <c r="E377" s="13" t="n"/>
      <c r="F377" s="10" t="n">
        <v>28621</v>
      </c>
      <c r="G377" s="10" t="n">
        <v>1110180</v>
      </c>
      <c r="H377" s="11" t="inlineStr">
        <is>
          <t>Resistor 100k, 5%, 1/10w, 0603</t>
        </is>
      </c>
      <c r="I377" s="11" t="inlineStr">
        <is>
          <t>عدد</t>
        </is>
      </c>
      <c r="J377" s="10" t="n">
        <v>1</v>
      </c>
      <c r="K377" s="10" t="n">
        <v>1</v>
      </c>
      <c r="L377" s="11" t="inlineStr">
        <is>
          <t>14</t>
        </is>
      </c>
      <c r="M377" s="10" t="n">
        <v>2</v>
      </c>
      <c r="N377" s="10" t="n">
        <v>50</v>
      </c>
      <c r="O377" s="10">
        <f>N377</f>
        <v>50</v>
      </c>
      <c r="P377" s="11" t="inlineStr">
        <is>
          <t>سهم درصد استفاده BOM</t>
        </is>
      </c>
      <c r="Q377" s="10">
        <f>SUMIFS('ورودی برنامه'!$D$4:$D$16,'ورودی برنامه'!$A$4:$A$16,A377,'ورودی برنامه'!$C$4:$C$16,C377)</f>
        <v>1750</v>
      </c>
      <c r="R377" s="10">
        <f>SUMIFS('ورودی برنامه'!$E$4:$E$16,'ورودی برنامه'!$A$4:$A$16,A377,'ورودی برنامه'!$C$4:$C$16,C377)</f>
        <v>1200</v>
      </c>
      <c r="S377" s="10">
        <f>ROUND(Q377*J377/K377*O377/100,10)</f>
        <v>875</v>
      </c>
      <c r="T377" s="10">
        <f>ROUND(R377*J377/K377*O377/100,10)</f>
        <v>600</v>
      </c>
      <c r="U377" s="10" t="n">
        <v>0</v>
      </c>
      <c r="V377" s="10" t="n">
        <v>0</v>
      </c>
    </row>
    <row r="378" ht="20" customHeight="1">
      <c r="A378" s="5" t="n">
        <v>1201654</v>
      </c>
      <c r="B378" s="6" t="inlineStr">
        <is>
          <t>BCMi/SBMi_P207_SOREN_ARISUN Bottom جعبه الکترونیکی مونتاژ ماشینی شده</t>
        </is>
      </c>
      <c r="C378" s="6" t="inlineStr">
        <is>
          <t>13416020223</t>
        </is>
      </c>
      <c r="D378" s="6" t="inlineStr">
        <is>
          <t>1405/06/10</t>
        </is>
      </c>
      <c r="E378" s="9" t="n"/>
      <c r="F378" s="5" t="n">
        <v>30030</v>
      </c>
      <c r="G378" s="5" t="n">
        <v>1110135</v>
      </c>
      <c r="H378" s="6" t="inlineStr">
        <is>
          <t>Capacitor 1uF,16V,10%,X7R(3008118</t>
        </is>
      </c>
      <c r="I378" s="6" t="inlineStr">
        <is>
          <t>عدد</t>
        </is>
      </c>
      <c r="J378" s="5" t="n">
        <v>2</v>
      </c>
      <c r="K378" s="5" t="n">
        <v>1</v>
      </c>
      <c r="L378" s="6" t="inlineStr">
        <is>
          <t>-</t>
        </is>
      </c>
      <c r="M378" s="9" t="n"/>
      <c r="N378" s="9" t="n"/>
      <c r="O378" s="5" t="n">
        <v>100</v>
      </c>
      <c r="P378" s="6" t="inlineStr">
        <is>
          <t>مصرف مستقیم</t>
        </is>
      </c>
      <c r="Q378" s="5">
        <f>SUMIFS('ورودی برنامه'!$D$4:$D$16,'ورودی برنامه'!$A$4:$A$16,A378,'ورودی برنامه'!$C$4:$C$16,C378)</f>
        <v>1750</v>
      </c>
      <c r="R378" s="5">
        <f>SUMIFS('ورودی برنامه'!$E$4:$E$16,'ورودی برنامه'!$A$4:$A$16,A378,'ورودی برنامه'!$C$4:$C$16,C378)</f>
        <v>1200</v>
      </c>
      <c r="S378" s="5">
        <f>ROUND(Q378*J378/K378*O378/100,10)</f>
        <v>3500</v>
      </c>
      <c r="T378" s="5">
        <f>ROUND(R378*J378/K378*O378/100,10)</f>
        <v>2400</v>
      </c>
      <c r="U378" s="5" t="n">
        <v>3500</v>
      </c>
      <c r="V378" s="5" t="n">
        <v>2400</v>
      </c>
    </row>
    <row r="379" ht="20" customHeight="1">
      <c r="A379" s="10" t="n">
        <v>1201654</v>
      </c>
      <c r="B379" s="11" t="inlineStr">
        <is>
          <t>BCMi/SBMi_P207_SOREN_ARISUN Bottom جعبه الکترونیکی مونتاژ ماشینی شده</t>
        </is>
      </c>
      <c r="C379" s="11" t="inlineStr">
        <is>
          <t>13416020223</t>
        </is>
      </c>
      <c r="D379" s="11" t="inlineStr">
        <is>
          <t>1405/06/10</t>
        </is>
      </c>
      <c r="E379" s="13" t="n"/>
      <c r="F379" s="10" t="n">
        <v>30309</v>
      </c>
      <c r="G379" s="10" t="n">
        <v>1110706</v>
      </c>
      <c r="H379" s="11" t="inlineStr">
        <is>
          <t>resistor 1K,1%,1/10W</t>
        </is>
      </c>
      <c r="I379" s="11" t="inlineStr">
        <is>
          <t>عدد</t>
        </is>
      </c>
      <c r="J379" s="10" t="n">
        <v>2</v>
      </c>
      <c r="K379" s="10" t="n">
        <v>1</v>
      </c>
      <c r="L379" s="11" t="inlineStr">
        <is>
          <t>6</t>
        </is>
      </c>
      <c r="M379" s="10" t="n">
        <v>2</v>
      </c>
      <c r="N379" s="10" t="n">
        <v>50</v>
      </c>
      <c r="O379" s="10">
        <f>N379</f>
        <v>50</v>
      </c>
      <c r="P379" s="11" t="inlineStr">
        <is>
          <t>سهم درصد استفاده BOM</t>
        </is>
      </c>
      <c r="Q379" s="10">
        <f>SUMIFS('ورودی برنامه'!$D$4:$D$16,'ورودی برنامه'!$A$4:$A$16,A379,'ورودی برنامه'!$C$4:$C$16,C379)</f>
        <v>1750</v>
      </c>
      <c r="R379" s="10">
        <f>SUMIFS('ورودی برنامه'!$E$4:$E$16,'ورودی برنامه'!$A$4:$A$16,A379,'ورودی برنامه'!$C$4:$C$16,C379)</f>
        <v>1200</v>
      </c>
      <c r="S379" s="10">
        <f>ROUND(Q379*J379/K379*O379/100,10)</f>
        <v>1750</v>
      </c>
      <c r="T379" s="10">
        <f>ROUND(R379*J379/K379*O379/100,10)</f>
        <v>1200</v>
      </c>
      <c r="U379" s="10" t="n">
        <v>3500</v>
      </c>
      <c r="V379" s="10" t="n">
        <v>0</v>
      </c>
    </row>
    <row r="380" ht="20" customHeight="1">
      <c r="A380" s="5" t="n">
        <v>1201654</v>
      </c>
      <c r="B380" s="6" t="inlineStr">
        <is>
          <t>BCMi/SBMi_P207_SOREN_ARISUN Bottom جعبه الکترونیکی مونتاژ ماشینی شده</t>
        </is>
      </c>
      <c r="C380" s="6" t="inlineStr">
        <is>
          <t>13416020223</t>
        </is>
      </c>
      <c r="D380" s="6" t="inlineStr">
        <is>
          <t>1405/06/10</t>
        </is>
      </c>
      <c r="E380" s="9" t="n"/>
      <c r="F380" s="5" t="n">
        <v>30831</v>
      </c>
      <c r="G380" s="5" t="n">
        <v>1110703</v>
      </c>
      <c r="H380" s="6" t="inlineStr">
        <is>
          <t>Resistor 10K,5%,1/10W(3008146</t>
        </is>
      </c>
      <c r="I380" s="6" t="inlineStr">
        <is>
          <t>عدد</t>
        </is>
      </c>
      <c r="J380" s="5" t="n">
        <v>14</v>
      </c>
      <c r="K380" s="5" t="n">
        <v>1</v>
      </c>
      <c r="L380" s="6" t="inlineStr">
        <is>
          <t>-</t>
        </is>
      </c>
      <c r="M380" s="9" t="n"/>
      <c r="N380" s="9" t="n"/>
      <c r="O380" s="5" t="n">
        <v>100</v>
      </c>
      <c r="P380" s="6" t="inlineStr">
        <is>
          <t>مصرف مستقیم</t>
        </is>
      </c>
      <c r="Q380" s="5">
        <f>SUMIFS('ورودی برنامه'!$D$4:$D$16,'ورودی برنامه'!$A$4:$A$16,A380,'ورودی برنامه'!$C$4:$C$16,C380)</f>
        <v>1750</v>
      </c>
      <c r="R380" s="5">
        <f>SUMIFS('ورودی برنامه'!$E$4:$E$16,'ورودی برنامه'!$A$4:$A$16,A380,'ورودی برنامه'!$C$4:$C$16,C380)</f>
        <v>1200</v>
      </c>
      <c r="S380" s="5">
        <f>ROUND(Q380*J380/K380*O380/100,10)</f>
        <v>24500</v>
      </c>
      <c r="T380" s="5">
        <f>ROUND(R380*J380/K380*O380/100,10)</f>
        <v>16800</v>
      </c>
      <c r="U380" s="5" t="n">
        <v>24500</v>
      </c>
      <c r="V380" s="5" t="n">
        <v>16800</v>
      </c>
    </row>
    <row r="381" ht="20" customHeight="1">
      <c r="A381" s="10" t="n">
        <v>1201654</v>
      </c>
      <c r="B381" s="11" t="inlineStr">
        <is>
          <t>BCMi/SBMi_P207_SOREN_ARISUN Bottom جعبه الکترونیکی مونتاژ ماشینی شده</t>
        </is>
      </c>
      <c r="C381" s="11" t="inlineStr">
        <is>
          <t>13416020223</t>
        </is>
      </c>
      <c r="D381" s="11" t="inlineStr">
        <is>
          <t>1405/06/10</t>
        </is>
      </c>
      <c r="E381" s="13" t="n"/>
      <c r="F381" s="10" t="n">
        <v>31090</v>
      </c>
      <c r="G381" s="10" t="n">
        <v>1110194</v>
      </c>
      <c r="H381" s="11" t="inlineStr">
        <is>
          <t>Resistor 100,1%,1/10W</t>
        </is>
      </c>
      <c r="I381" s="11" t="inlineStr">
        <is>
          <t>عدد</t>
        </is>
      </c>
      <c r="J381" s="10" t="n">
        <v>17</v>
      </c>
      <c r="K381" s="10" t="n">
        <v>1</v>
      </c>
      <c r="L381" s="11" t="inlineStr">
        <is>
          <t>16</t>
        </is>
      </c>
      <c r="M381" s="10" t="n">
        <v>2</v>
      </c>
      <c r="N381" s="10" t="n">
        <v>50</v>
      </c>
      <c r="O381" s="10">
        <f>N381</f>
        <v>50</v>
      </c>
      <c r="P381" s="11" t="inlineStr">
        <is>
          <t>سهم درصد استفاده BOM</t>
        </is>
      </c>
      <c r="Q381" s="10">
        <f>SUMIFS('ورودی برنامه'!$D$4:$D$16,'ورودی برنامه'!$A$4:$A$16,A381,'ورودی برنامه'!$C$4:$C$16,C381)</f>
        <v>1750</v>
      </c>
      <c r="R381" s="10">
        <f>SUMIFS('ورودی برنامه'!$E$4:$E$16,'ورودی برنامه'!$A$4:$A$16,A381,'ورودی برنامه'!$C$4:$C$16,C381)</f>
        <v>1200</v>
      </c>
      <c r="S381" s="10">
        <f>ROUND(Q381*J381/K381*O381/100,10)</f>
        <v>14875</v>
      </c>
      <c r="T381" s="10">
        <f>ROUND(R381*J381/K381*O381/100,10)</f>
        <v>10200</v>
      </c>
      <c r="U381" s="10" t="n">
        <v>0</v>
      </c>
      <c r="V381" s="10" t="n">
        <v>13524</v>
      </c>
    </row>
    <row r="382" ht="20" customHeight="1">
      <c r="A382" s="5" t="n">
        <v>1201654</v>
      </c>
      <c r="B382" s="6" t="inlineStr">
        <is>
          <t>BCMi/SBMi_P207_SOREN_ARISUN Bottom جعبه الکترونیکی مونتاژ ماشینی شده</t>
        </is>
      </c>
      <c r="C382" s="6" t="inlineStr">
        <is>
          <t>13416020223</t>
        </is>
      </c>
      <c r="D382" s="6" t="inlineStr">
        <is>
          <t>1405/06/10</t>
        </is>
      </c>
      <c r="E382" s="9" t="n"/>
      <c r="F382" s="5" t="n">
        <v>31249</v>
      </c>
      <c r="G382" s="5" t="n">
        <v>1110707</v>
      </c>
      <c r="H382" s="6" t="inlineStr">
        <is>
          <t>Resistor 1K,5%,1/10W</t>
        </is>
      </c>
      <c r="I382" s="6" t="inlineStr">
        <is>
          <t>عدد</t>
        </is>
      </c>
      <c r="J382" s="5" t="n">
        <v>5</v>
      </c>
      <c r="K382" s="5" t="n">
        <v>1</v>
      </c>
      <c r="L382" s="6" t="inlineStr">
        <is>
          <t>-</t>
        </is>
      </c>
      <c r="M382" s="9" t="n"/>
      <c r="N382" s="9" t="n"/>
      <c r="O382" s="5" t="n">
        <v>100</v>
      </c>
      <c r="P382" s="6" t="inlineStr">
        <is>
          <t>مصرف مستقیم</t>
        </is>
      </c>
      <c r="Q382" s="5">
        <f>SUMIFS('ورودی برنامه'!$D$4:$D$16,'ورودی برنامه'!$A$4:$A$16,A382,'ورودی برنامه'!$C$4:$C$16,C382)</f>
        <v>1750</v>
      </c>
      <c r="R382" s="5">
        <f>SUMIFS('ورودی برنامه'!$E$4:$E$16,'ورودی برنامه'!$A$4:$A$16,A382,'ورودی برنامه'!$C$4:$C$16,C382)</f>
        <v>1200</v>
      </c>
      <c r="S382" s="5">
        <f>ROUND(Q382*J382/K382*O382/100,10)</f>
        <v>8750</v>
      </c>
      <c r="T382" s="5">
        <f>ROUND(R382*J382/K382*O382/100,10)</f>
        <v>6000</v>
      </c>
      <c r="U382" s="5" t="n">
        <v>8750</v>
      </c>
      <c r="V382" s="5" t="n">
        <v>6000</v>
      </c>
    </row>
    <row r="383" ht="20" customHeight="1">
      <c r="A383" s="10" t="n">
        <v>1201654</v>
      </c>
      <c r="B383" s="11" t="inlineStr">
        <is>
          <t>BCMi/SBMi_P207_SOREN_ARISUN Bottom جعبه الکترونیکی مونتاژ ماشینی شده</t>
        </is>
      </c>
      <c r="C383" s="11" t="inlineStr">
        <is>
          <t>13416020223</t>
        </is>
      </c>
      <c r="D383" s="11" t="inlineStr">
        <is>
          <t>1405/06/10</t>
        </is>
      </c>
      <c r="E383" s="13" t="n"/>
      <c r="F383" s="10" t="n">
        <v>31354</v>
      </c>
      <c r="G383" s="10" t="n">
        <v>1110199</v>
      </c>
      <c r="H383" s="11" t="inlineStr">
        <is>
          <t>Resistor 100, 5%, 1/16w</t>
        </is>
      </c>
      <c r="I383" s="11" t="inlineStr">
        <is>
          <t>عدد</t>
        </is>
      </c>
      <c r="J383" s="10" t="n">
        <v>2</v>
      </c>
      <c r="K383" s="10" t="n">
        <v>1</v>
      </c>
      <c r="L383" s="11" t="inlineStr">
        <is>
          <t>-</t>
        </is>
      </c>
      <c r="M383" s="13" t="n"/>
      <c r="N383" s="13" t="n"/>
      <c r="O383" s="10" t="n">
        <v>100</v>
      </c>
      <c r="P383" s="11" t="inlineStr">
        <is>
          <t>مصرف مستقیم</t>
        </is>
      </c>
      <c r="Q383" s="10">
        <f>SUMIFS('ورودی برنامه'!$D$4:$D$16,'ورودی برنامه'!$A$4:$A$16,A383,'ورودی برنامه'!$C$4:$C$16,C383)</f>
        <v>1750</v>
      </c>
      <c r="R383" s="10">
        <f>SUMIFS('ورودی برنامه'!$E$4:$E$16,'ورودی برنامه'!$A$4:$A$16,A383,'ورودی برنامه'!$C$4:$C$16,C383)</f>
        <v>1200</v>
      </c>
      <c r="S383" s="10">
        <f>ROUND(Q383*J383/K383*O383/100,10)</f>
        <v>3500</v>
      </c>
      <c r="T383" s="10">
        <f>ROUND(R383*J383/K383*O383/100,10)</f>
        <v>2400</v>
      </c>
      <c r="U383" s="10" t="n">
        <v>3500</v>
      </c>
      <c r="V383" s="10" t="n">
        <v>2400</v>
      </c>
    </row>
    <row r="384" ht="20" customHeight="1">
      <c r="A384" s="5" t="n">
        <v>1201654</v>
      </c>
      <c r="B384" s="6" t="inlineStr">
        <is>
          <t>BCMi/SBMi_P207_SOREN_ARISUN Bottom جعبه الکترونیکی مونتاژ ماشینی شده</t>
        </is>
      </c>
      <c r="C384" s="6" t="inlineStr">
        <is>
          <t>13416020223</t>
        </is>
      </c>
      <c r="D384" s="6" t="inlineStr">
        <is>
          <t>1405/06/10</t>
        </is>
      </c>
      <c r="E384" s="9" t="n"/>
      <c r="F384" s="5" t="n">
        <v>31387</v>
      </c>
      <c r="G384" s="5" t="n">
        <v>1110276</v>
      </c>
      <c r="H384" s="6" t="inlineStr">
        <is>
          <t>Resistor 0 ,5%,1/16W</t>
        </is>
      </c>
      <c r="I384" s="6" t="inlineStr">
        <is>
          <t>عدد</t>
        </is>
      </c>
      <c r="J384" s="5" t="n">
        <v>4</v>
      </c>
      <c r="K384" s="5" t="n">
        <v>1</v>
      </c>
      <c r="L384" s="6" t="inlineStr">
        <is>
          <t>-</t>
        </is>
      </c>
      <c r="M384" s="9" t="n"/>
      <c r="N384" s="9" t="n"/>
      <c r="O384" s="5" t="n">
        <v>100</v>
      </c>
      <c r="P384" s="6" t="inlineStr">
        <is>
          <t>مصرف مستقیم</t>
        </is>
      </c>
      <c r="Q384" s="5">
        <f>SUMIFS('ورودی برنامه'!$D$4:$D$16,'ورودی برنامه'!$A$4:$A$16,A384,'ورودی برنامه'!$C$4:$C$16,C384)</f>
        <v>1750</v>
      </c>
      <c r="R384" s="5">
        <f>SUMIFS('ورودی برنامه'!$E$4:$E$16,'ورودی برنامه'!$A$4:$A$16,A384,'ورودی برنامه'!$C$4:$C$16,C384)</f>
        <v>1200</v>
      </c>
      <c r="S384" s="5">
        <f>ROUND(Q384*J384/K384*O384/100,10)</f>
        <v>7000</v>
      </c>
      <c r="T384" s="5">
        <f>ROUND(R384*J384/K384*O384/100,10)</f>
        <v>4800</v>
      </c>
      <c r="U384" s="5" t="n">
        <v>7000</v>
      </c>
      <c r="V384" s="5" t="n">
        <v>4800</v>
      </c>
    </row>
    <row r="385" ht="20" customHeight="1">
      <c r="A385" s="10" t="n">
        <v>1201654</v>
      </c>
      <c r="B385" s="11" t="inlineStr">
        <is>
          <t>BCMi/SBMi_P207_SOREN_ARISUN Bottom جعبه الکترونیکی مونتاژ ماشینی شده</t>
        </is>
      </c>
      <c r="C385" s="11" t="inlineStr">
        <is>
          <t>13416020223</t>
        </is>
      </c>
      <c r="D385" s="11" t="inlineStr">
        <is>
          <t>1405/06/10</t>
        </is>
      </c>
      <c r="E385" s="13" t="n"/>
      <c r="F385" s="10" t="n">
        <v>31409</v>
      </c>
      <c r="G385" s="10" t="n">
        <v>1110118</v>
      </c>
      <c r="H385" s="11" t="inlineStr">
        <is>
          <t>Capacitor 100nF,50V,10%,X7R (3013617</t>
        </is>
      </c>
      <c r="I385" s="11" t="inlineStr">
        <is>
          <t>عدد</t>
        </is>
      </c>
      <c r="J385" s="10" t="n">
        <v>6</v>
      </c>
      <c r="K385" s="10" t="n">
        <v>1</v>
      </c>
      <c r="L385" s="11" t="inlineStr">
        <is>
          <t>-</t>
        </is>
      </c>
      <c r="M385" s="13" t="n"/>
      <c r="N385" s="13" t="n"/>
      <c r="O385" s="10" t="n">
        <v>100</v>
      </c>
      <c r="P385" s="11" t="inlineStr">
        <is>
          <t>مصرف مستقیم</t>
        </is>
      </c>
      <c r="Q385" s="10">
        <f>SUMIFS('ورودی برنامه'!$D$4:$D$16,'ورودی برنامه'!$A$4:$A$16,A385,'ورودی برنامه'!$C$4:$C$16,C385)</f>
        <v>1750</v>
      </c>
      <c r="R385" s="10">
        <f>SUMIFS('ورودی برنامه'!$E$4:$E$16,'ورودی برنامه'!$A$4:$A$16,A385,'ورودی برنامه'!$C$4:$C$16,C385)</f>
        <v>1200</v>
      </c>
      <c r="S385" s="10">
        <f>ROUND(Q385*J385/K385*O385/100,10)</f>
        <v>10500</v>
      </c>
      <c r="T385" s="10">
        <f>ROUND(R385*J385/K385*O385/100,10)</f>
        <v>7200</v>
      </c>
      <c r="U385" s="10" t="n">
        <v>10500</v>
      </c>
      <c r="V385" s="10" t="n">
        <v>7200</v>
      </c>
    </row>
    <row r="386" ht="20" customHeight="1">
      <c r="A386" s="5" t="n">
        <v>1201654</v>
      </c>
      <c r="B386" s="6" t="inlineStr">
        <is>
          <t>BCMi/SBMi_P207_SOREN_ARISUN Bottom جعبه الکترونیکی مونتاژ ماشینی شده</t>
        </is>
      </c>
      <c r="C386" s="6" t="inlineStr">
        <is>
          <t>13416020223</t>
        </is>
      </c>
      <c r="D386" s="6" t="inlineStr">
        <is>
          <t>1405/06/10</t>
        </is>
      </c>
      <c r="E386" s="9" t="n"/>
      <c r="F386" s="5" t="n">
        <v>31485</v>
      </c>
      <c r="G386" s="5" t="n">
        <v>1110700</v>
      </c>
      <c r="H386" s="6" t="inlineStr">
        <is>
          <t>Resistor 100K,5%,1/16W</t>
        </is>
      </c>
      <c r="I386" s="6" t="inlineStr">
        <is>
          <t>عدد</t>
        </is>
      </c>
      <c r="J386" s="5" t="n">
        <v>1</v>
      </c>
      <c r="K386" s="5" t="n">
        <v>1</v>
      </c>
      <c r="L386" s="6" t="inlineStr">
        <is>
          <t>14</t>
        </is>
      </c>
      <c r="M386" s="5" t="n">
        <v>1</v>
      </c>
      <c r="N386" s="5" t="n">
        <v>50</v>
      </c>
      <c r="O386" s="5">
        <f>N386</f>
        <v>50</v>
      </c>
      <c r="P386" s="6" t="inlineStr">
        <is>
          <t>سهم درصد استفاده BOM</t>
        </is>
      </c>
      <c r="Q386" s="5">
        <f>SUMIFS('ورودی برنامه'!$D$4:$D$16,'ورودی برنامه'!$A$4:$A$16,A386,'ورودی برنامه'!$C$4:$C$16,C386)</f>
        <v>1750</v>
      </c>
      <c r="R386" s="5">
        <f>SUMIFS('ورودی برنامه'!$E$4:$E$16,'ورودی برنامه'!$A$4:$A$16,A386,'ورودی برنامه'!$C$4:$C$16,C386)</f>
        <v>1200</v>
      </c>
      <c r="S386" s="5">
        <f>ROUND(Q386*J386/K386*O386/100,10)</f>
        <v>875</v>
      </c>
      <c r="T386" s="5">
        <f>ROUND(R386*J386/K386*O386/100,10)</f>
        <v>600</v>
      </c>
      <c r="U386" s="5" t="n">
        <v>1750</v>
      </c>
      <c r="V386" s="5" t="n">
        <v>1200</v>
      </c>
    </row>
    <row r="387" ht="20" customHeight="1">
      <c r="A387" s="10" t="n">
        <v>1201654</v>
      </c>
      <c r="B387" s="11" t="inlineStr">
        <is>
          <t>BCMi/SBMi_P207_SOREN_ARISUN Bottom جعبه الکترونیکی مونتاژ ماشینی شده</t>
        </is>
      </c>
      <c r="C387" s="11" t="inlineStr">
        <is>
          <t>13416020223</t>
        </is>
      </c>
      <c r="D387" s="11" t="inlineStr">
        <is>
          <t>1405/06/10</t>
        </is>
      </c>
      <c r="E387" s="13" t="n"/>
      <c r="F387" s="10" t="n">
        <v>31697</v>
      </c>
      <c r="G387" s="10" t="n">
        <v>1110708</v>
      </c>
      <c r="H387" s="11" t="inlineStr">
        <is>
          <t>Resistor 1K,5%,1/10W (3004604</t>
        </is>
      </c>
      <c r="I387" s="11" t="inlineStr">
        <is>
          <t>عدد</t>
        </is>
      </c>
      <c r="J387" s="10" t="n">
        <v>2</v>
      </c>
      <c r="K387" s="10" t="n">
        <v>1</v>
      </c>
      <c r="L387" s="11" t="inlineStr">
        <is>
          <t>6</t>
        </is>
      </c>
      <c r="M387" s="10" t="n">
        <v>1</v>
      </c>
      <c r="N387" s="10" t="n">
        <v>50</v>
      </c>
      <c r="O387" s="10">
        <f>N387</f>
        <v>50</v>
      </c>
      <c r="P387" s="11" t="inlineStr">
        <is>
          <t>سهم درصد استفاده BOM</t>
        </is>
      </c>
      <c r="Q387" s="10">
        <f>SUMIFS('ورودی برنامه'!$D$4:$D$16,'ورودی برنامه'!$A$4:$A$16,A387,'ورودی برنامه'!$C$4:$C$16,C387)</f>
        <v>1750</v>
      </c>
      <c r="R387" s="10">
        <f>SUMIFS('ورودی برنامه'!$E$4:$E$16,'ورودی برنامه'!$A$4:$A$16,A387,'ورودی برنامه'!$C$4:$C$16,C387)</f>
        <v>1200</v>
      </c>
      <c r="S387" s="10">
        <f>ROUND(Q387*J387/K387*O387/100,10)</f>
        <v>1750</v>
      </c>
      <c r="T387" s="10">
        <f>ROUND(R387*J387/K387*O387/100,10)</f>
        <v>1200</v>
      </c>
      <c r="U387" s="10" t="n">
        <v>0</v>
      </c>
      <c r="V387" s="10" t="n">
        <v>2400</v>
      </c>
    </row>
    <row r="388" ht="20" customHeight="1">
      <c r="A388" s="5" t="n">
        <v>1201654</v>
      </c>
      <c r="B388" s="6" t="inlineStr">
        <is>
          <t>BCMi/SBMi_P207_SOREN_ARISUN Bottom جعبه الکترونیکی مونتاژ ماشینی شده</t>
        </is>
      </c>
      <c r="C388" s="6" t="inlineStr">
        <is>
          <t>13416020223</t>
        </is>
      </c>
      <c r="D388" s="6" t="inlineStr">
        <is>
          <t>1405/06/10</t>
        </is>
      </c>
      <c r="E388" s="9" t="n"/>
      <c r="F388" s="5" t="n">
        <v>31998</v>
      </c>
      <c r="G388" s="5" t="n">
        <v>1110714</v>
      </c>
      <c r="H388" s="6" t="inlineStr">
        <is>
          <t>Resistor 22K,1%,1/10W</t>
        </is>
      </c>
      <c r="I388" s="6" t="inlineStr">
        <is>
          <t>عدد</t>
        </is>
      </c>
      <c r="J388" s="5" t="n">
        <v>36</v>
      </c>
      <c r="K388" s="5" t="n">
        <v>1</v>
      </c>
      <c r="L388" s="6" t="inlineStr">
        <is>
          <t>13</t>
        </is>
      </c>
      <c r="M388" s="5" t="n">
        <v>2</v>
      </c>
      <c r="N388" s="5" t="n">
        <v>50</v>
      </c>
      <c r="O388" s="5">
        <f>N388</f>
        <v>50</v>
      </c>
      <c r="P388" s="6" t="inlineStr">
        <is>
          <t>سهم درصد استفاده BOM</t>
        </is>
      </c>
      <c r="Q388" s="5">
        <f>SUMIFS('ورودی برنامه'!$D$4:$D$16,'ورودی برنامه'!$A$4:$A$16,A388,'ورودی برنامه'!$C$4:$C$16,C388)</f>
        <v>1750</v>
      </c>
      <c r="R388" s="5">
        <f>SUMIFS('ورودی برنامه'!$E$4:$E$16,'ورودی برنامه'!$A$4:$A$16,A388,'ورودی برنامه'!$C$4:$C$16,C388)</f>
        <v>1200</v>
      </c>
      <c r="S388" s="5">
        <f>ROUND(Q388*J388/K388*O388/100,10)</f>
        <v>31500</v>
      </c>
      <c r="T388" s="5">
        <f>ROUND(R388*J388/K388*O388/100,10)</f>
        <v>21600</v>
      </c>
      <c r="U388" s="5" t="n">
        <v>26680</v>
      </c>
      <c r="V388" s="5" t="n">
        <v>0</v>
      </c>
    </row>
    <row r="389" ht="20" customHeight="1">
      <c r="A389" s="10" t="n">
        <v>1201654</v>
      </c>
      <c r="B389" s="11" t="inlineStr">
        <is>
          <t>BCMi/SBMi_P207_SOREN_ARISUN Bottom جعبه الکترونیکی مونتاژ ماشینی شده</t>
        </is>
      </c>
      <c r="C389" s="11" t="inlineStr">
        <is>
          <t>13416020223</t>
        </is>
      </c>
      <c r="D389" s="11" t="inlineStr">
        <is>
          <t>1405/06/10</t>
        </is>
      </c>
      <c r="E389" s="13" t="n"/>
      <c r="F389" s="10" t="n">
        <v>32646</v>
      </c>
      <c r="G389" s="10" t="n">
        <v>1110747</v>
      </c>
      <c r="H389" s="11" t="inlineStr">
        <is>
          <t>Resistor 330, 5%, 1w</t>
        </is>
      </c>
      <c r="I389" s="11" t="inlineStr">
        <is>
          <t>عدد</t>
        </is>
      </c>
      <c r="J389" s="10" t="n">
        <v>5</v>
      </c>
      <c r="K389" s="10" t="n">
        <v>1</v>
      </c>
      <c r="L389" s="11" t="inlineStr">
        <is>
          <t>8</t>
        </is>
      </c>
      <c r="M389" s="10" t="n">
        <v>1</v>
      </c>
      <c r="N389" s="10" t="n">
        <v>50</v>
      </c>
      <c r="O389" s="10">
        <f>N389</f>
        <v>50</v>
      </c>
      <c r="P389" s="11" t="inlineStr">
        <is>
          <t>سهم درصد استفاده BOM</t>
        </is>
      </c>
      <c r="Q389" s="10">
        <f>SUMIFS('ورودی برنامه'!$D$4:$D$16,'ورودی برنامه'!$A$4:$A$16,A389,'ورودی برنامه'!$C$4:$C$16,C389)</f>
        <v>1750</v>
      </c>
      <c r="R389" s="10">
        <f>SUMIFS('ورودی برنامه'!$E$4:$E$16,'ورودی برنامه'!$A$4:$A$16,A389,'ورودی برنامه'!$C$4:$C$16,C389)</f>
        <v>1200</v>
      </c>
      <c r="S389" s="10">
        <f>ROUND(Q389*J389/K389*O389/100,10)</f>
        <v>4375</v>
      </c>
      <c r="T389" s="10">
        <f>ROUND(R389*J389/K389*O389/100,10)</f>
        <v>3000</v>
      </c>
      <c r="U389" s="10" t="n">
        <v>8750</v>
      </c>
      <c r="V389" s="10" t="n">
        <v>6000</v>
      </c>
    </row>
    <row r="390" ht="20" customHeight="1">
      <c r="A390" s="5" t="n">
        <v>1201654</v>
      </c>
      <c r="B390" s="6" t="inlineStr">
        <is>
          <t>BCMi/SBMi_P207_SOREN_ARISUN Bottom جعبه الکترونیکی مونتاژ ماشینی شده</t>
        </is>
      </c>
      <c r="C390" s="6" t="inlineStr">
        <is>
          <t>13416020223</t>
        </is>
      </c>
      <c r="D390" s="6" t="inlineStr">
        <is>
          <t>1405/06/10</t>
        </is>
      </c>
      <c r="E390" s="9" t="n"/>
      <c r="F390" s="5" t="n">
        <v>32754</v>
      </c>
      <c r="G390" s="5" t="n">
        <v>1110748</v>
      </c>
      <c r="H390" s="6" t="inlineStr">
        <is>
          <t>Resistor 330, 1%, 1w</t>
        </is>
      </c>
      <c r="I390" s="6" t="inlineStr">
        <is>
          <t>عدد</t>
        </is>
      </c>
      <c r="J390" s="5" t="n">
        <v>5</v>
      </c>
      <c r="K390" s="5" t="n">
        <v>1</v>
      </c>
      <c r="L390" s="6" t="inlineStr">
        <is>
          <t>8</t>
        </is>
      </c>
      <c r="M390" s="5" t="n">
        <v>2</v>
      </c>
      <c r="N390" s="5" t="n">
        <v>50</v>
      </c>
      <c r="O390" s="5">
        <f>N390</f>
        <v>50</v>
      </c>
      <c r="P390" s="6" t="inlineStr">
        <is>
          <t>سهم درصد استفاده BOM</t>
        </is>
      </c>
      <c r="Q390" s="5">
        <f>SUMIFS('ورودی برنامه'!$D$4:$D$16,'ورودی برنامه'!$A$4:$A$16,A390,'ورودی برنامه'!$C$4:$C$16,C390)</f>
        <v>1750</v>
      </c>
      <c r="R390" s="5">
        <f>SUMIFS('ورودی برنامه'!$E$4:$E$16,'ورودی برنامه'!$A$4:$A$16,A390,'ورودی برنامه'!$C$4:$C$16,C390)</f>
        <v>1200</v>
      </c>
      <c r="S390" s="5">
        <f>ROUND(Q390*J390/K390*O390/100,10)</f>
        <v>4375</v>
      </c>
      <c r="T390" s="5">
        <f>ROUND(R390*J390/K390*O390/100,10)</f>
        <v>3000</v>
      </c>
      <c r="U390" s="5" t="n">
        <v>0</v>
      </c>
      <c r="V390" s="5" t="n">
        <v>0</v>
      </c>
    </row>
    <row r="391" ht="20" customHeight="1">
      <c r="A391" s="10" t="n">
        <v>1201654</v>
      </c>
      <c r="B391" s="11" t="inlineStr">
        <is>
          <t>BCMi/SBMi_P207_SOREN_ARISUN Bottom جعبه الکترونیکی مونتاژ ماشینی شده</t>
        </is>
      </c>
      <c r="C391" s="11" t="inlineStr">
        <is>
          <t>13416020223</t>
        </is>
      </c>
      <c r="D391" s="11" t="inlineStr">
        <is>
          <t>1405/06/10</t>
        </is>
      </c>
      <c r="E391" s="13" t="n"/>
      <c r="F391" s="10" t="n">
        <v>33614</v>
      </c>
      <c r="G391" s="10" t="n">
        <v>1110101</v>
      </c>
      <c r="H391" s="11" t="inlineStr">
        <is>
          <t>Capacitor 47nF, X7R, 50V, 10%</t>
        </is>
      </c>
      <c r="I391" s="11" t="inlineStr">
        <is>
          <t>عدد</t>
        </is>
      </c>
      <c r="J391" s="10" t="n">
        <v>41</v>
      </c>
      <c r="K391" s="10" t="n">
        <v>1</v>
      </c>
      <c r="L391" s="11" t="inlineStr">
        <is>
          <t>-</t>
        </is>
      </c>
      <c r="M391" s="13" t="n"/>
      <c r="N391" s="13" t="n"/>
      <c r="O391" s="10" t="n">
        <v>100</v>
      </c>
      <c r="P391" s="11" t="inlineStr">
        <is>
          <t>مصرف مستقیم</t>
        </is>
      </c>
      <c r="Q391" s="10">
        <f>SUMIFS('ورودی برنامه'!$D$4:$D$16,'ورودی برنامه'!$A$4:$A$16,A391,'ورودی برنامه'!$C$4:$C$16,C391)</f>
        <v>1750</v>
      </c>
      <c r="R391" s="10">
        <f>SUMIFS('ورودی برنامه'!$E$4:$E$16,'ورودی برنامه'!$A$4:$A$16,A391,'ورودی برنامه'!$C$4:$C$16,C391)</f>
        <v>1200</v>
      </c>
      <c r="S391" s="10">
        <f>ROUND(Q391*J391/K391*O391/100,10)</f>
        <v>71750</v>
      </c>
      <c r="T391" s="10">
        <f>ROUND(R391*J391/K391*O391/100,10)</f>
        <v>49200</v>
      </c>
      <c r="U391" s="10" t="n">
        <v>71750</v>
      </c>
      <c r="V391" s="10" t="n">
        <v>49200</v>
      </c>
    </row>
    <row r="392" ht="20" customHeight="1">
      <c r="A392" s="5" t="n">
        <v>1201654</v>
      </c>
      <c r="B392" s="6" t="inlineStr">
        <is>
          <t>BCMi/SBMi_P207_SOREN_ARISUN Bottom جعبه الکترونیکی مونتاژ ماشینی شده</t>
        </is>
      </c>
      <c r="C392" s="6" t="inlineStr">
        <is>
          <t>13416020223</t>
        </is>
      </c>
      <c r="D392" s="6" t="inlineStr">
        <is>
          <t>1405/06/10</t>
        </is>
      </c>
      <c r="E392" s="9" t="n"/>
      <c r="F392" s="5" t="n">
        <v>34427</v>
      </c>
      <c r="G392" s="5" t="n">
        <v>1110761</v>
      </c>
      <c r="H392" s="6" t="inlineStr">
        <is>
          <t>Resistor 4.7k, 1%, 1/16W</t>
        </is>
      </c>
      <c r="I392" s="6" t="inlineStr">
        <is>
          <t>عدد</t>
        </is>
      </c>
      <c r="J392" s="5" t="n">
        <v>6</v>
      </c>
      <c r="K392" s="5" t="n">
        <v>1</v>
      </c>
      <c r="L392" s="6" t="inlineStr">
        <is>
          <t>5</t>
        </is>
      </c>
      <c r="M392" s="5" t="n">
        <v>2</v>
      </c>
      <c r="N392" s="5" t="n">
        <v>50</v>
      </c>
      <c r="O392" s="5">
        <f>N392</f>
        <v>50</v>
      </c>
      <c r="P392" s="6" t="inlineStr">
        <is>
          <t>سهم درصد استفاده BOM</t>
        </is>
      </c>
      <c r="Q392" s="5">
        <f>SUMIFS('ورودی برنامه'!$D$4:$D$16,'ورودی برنامه'!$A$4:$A$16,A392,'ورودی برنامه'!$C$4:$C$16,C392)</f>
        <v>1750</v>
      </c>
      <c r="R392" s="5">
        <f>SUMIFS('ورودی برنامه'!$E$4:$E$16,'ورودی برنامه'!$A$4:$A$16,A392,'ورودی برنامه'!$C$4:$C$16,C392)</f>
        <v>1200</v>
      </c>
      <c r="S392" s="5">
        <f>ROUND(Q392*J392/K392*O392/100,10)</f>
        <v>5250</v>
      </c>
      <c r="T392" s="5">
        <f>ROUND(R392*J392/K392*O392/100,10)</f>
        <v>3600</v>
      </c>
      <c r="U392" s="5" t="n">
        <v>2e-25</v>
      </c>
      <c r="V392" s="5" t="n">
        <v>0</v>
      </c>
    </row>
    <row r="393" ht="20" customHeight="1">
      <c r="A393" s="10" t="n">
        <v>1201654</v>
      </c>
      <c r="B393" s="11" t="inlineStr">
        <is>
          <t>BCMi/SBMi_P207_SOREN_ARISUN Bottom جعبه الکترونیکی مونتاژ ماشینی شده</t>
        </is>
      </c>
      <c r="C393" s="11" t="inlineStr">
        <is>
          <t>13416020223</t>
        </is>
      </c>
      <c r="D393" s="11" t="inlineStr">
        <is>
          <t>1405/06/10</t>
        </is>
      </c>
      <c r="E393" s="13" t="n"/>
      <c r="F393" s="10" t="n">
        <v>37566</v>
      </c>
      <c r="G393" s="10" t="n">
        <v>1110901</v>
      </c>
      <c r="H393" s="11" t="inlineStr">
        <is>
          <t>Diode 1N4007WS</t>
        </is>
      </c>
      <c r="I393" s="11" t="inlineStr">
        <is>
          <t>عدد</t>
        </is>
      </c>
      <c r="J393" s="10" t="n">
        <v>19</v>
      </c>
      <c r="K393" s="10" t="n">
        <v>1</v>
      </c>
      <c r="L393" s="11" t="inlineStr">
        <is>
          <t>-</t>
        </is>
      </c>
      <c r="M393" s="13" t="n"/>
      <c r="N393" s="13" t="n"/>
      <c r="O393" s="10" t="n">
        <v>100</v>
      </c>
      <c r="P393" s="11" t="inlineStr">
        <is>
          <t>مصرف مستقیم</t>
        </is>
      </c>
      <c r="Q393" s="10">
        <f>SUMIFS('ورودی برنامه'!$D$4:$D$16,'ورودی برنامه'!$A$4:$A$16,A393,'ورودی برنامه'!$C$4:$C$16,C393)</f>
        <v>1750</v>
      </c>
      <c r="R393" s="10">
        <f>SUMIFS('ورودی برنامه'!$E$4:$E$16,'ورودی برنامه'!$A$4:$A$16,A393,'ورودی برنامه'!$C$4:$C$16,C393)</f>
        <v>1200</v>
      </c>
      <c r="S393" s="10">
        <f>ROUND(Q393*J393/K393*O393/100,10)</f>
        <v>33250</v>
      </c>
      <c r="T393" s="10">
        <f>ROUND(R393*J393/K393*O393/100,10)</f>
        <v>22800</v>
      </c>
      <c r="U393" s="10" t="n">
        <v>33250</v>
      </c>
      <c r="V393" s="10" t="n">
        <v>22800</v>
      </c>
    </row>
    <row r="394" ht="20" customHeight="1">
      <c r="A394" s="5" t="n">
        <v>1201963</v>
      </c>
      <c r="B394" s="6" t="inlineStr">
        <is>
          <t>جلوآمپر کنترل ماشینی شده ICN1-DENA-HPT-THT</t>
        </is>
      </c>
      <c r="C394" s="6" t="inlineStr">
        <is>
          <t>12019630303</t>
        </is>
      </c>
      <c r="D394" s="6" t="inlineStr">
        <is>
          <t>1405/06/22</t>
        </is>
      </c>
      <c r="E394" s="9" t="n"/>
      <c r="F394" s="5" t="n">
        <v>481</v>
      </c>
      <c r="G394" s="5" t="n">
        <v>1110771</v>
      </c>
      <c r="H394" s="6" t="inlineStr">
        <is>
          <t>1206,Resistor 1.5K,5%,1/4W</t>
        </is>
      </c>
      <c r="I394" s="6" t="inlineStr">
        <is>
          <t>عدد</t>
        </is>
      </c>
      <c r="J394" s="5" t="n">
        <v>1</v>
      </c>
      <c r="K394" s="5" t="n">
        <v>1</v>
      </c>
      <c r="L394" s="6" t="inlineStr">
        <is>
          <t>20</t>
        </is>
      </c>
      <c r="M394" s="5" t="n">
        <v>1</v>
      </c>
      <c r="N394" s="5" t="n">
        <v>50</v>
      </c>
      <c r="O394" s="5">
        <f>N394</f>
        <v>50</v>
      </c>
      <c r="P394" s="6" t="inlineStr">
        <is>
          <t>سهم درصد استفاده BOM</t>
        </is>
      </c>
      <c r="Q394" s="5">
        <f>SUMIFS('ورودی برنامه'!$D$4:$D$16,'ورودی برنامه'!$A$4:$A$16,A394,'ورودی برنامه'!$C$4:$C$16,C394)</f>
        <v>630</v>
      </c>
      <c r="R394" s="5">
        <f>SUMIFS('ورودی برنامه'!$E$4:$E$16,'ورودی برنامه'!$A$4:$A$16,A394,'ورودی برنامه'!$C$4:$C$16,C394)</f>
        <v>360</v>
      </c>
      <c r="S394" s="5">
        <f>ROUND(Q394*J394/K394*O394/100,10)</f>
        <v>315</v>
      </c>
      <c r="T394" s="5">
        <f>ROUND(R394*J394/K394*O394/100,10)</f>
        <v>180</v>
      </c>
      <c r="U394" s="5" t="n">
        <v>0</v>
      </c>
      <c r="V394" s="5" t="n">
        <v>0</v>
      </c>
    </row>
    <row r="395" ht="20" customHeight="1">
      <c r="A395" s="10" t="n">
        <v>1201963</v>
      </c>
      <c r="B395" s="11" t="inlineStr">
        <is>
          <t>جلوآمپر کنترل ماشینی شده ICN1-DENA-HPT-THT</t>
        </is>
      </c>
      <c r="C395" s="11" t="inlineStr">
        <is>
          <t>12019630303</t>
        </is>
      </c>
      <c r="D395" s="11" t="inlineStr">
        <is>
          <t>1405/06/22</t>
        </is>
      </c>
      <c r="E395" s="13" t="n"/>
      <c r="F395" s="10" t="n">
        <v>734</v>
      </c>
      <c r="G395" s="10" t="n">
        <v>1101039</v>
      </c>
      <c r="H395" s="11" t="inlineStr">
        <is>
          <t>Resistor 1.5K,5%,1/10W</t>
        </is>
      </c>
      <c r="I395" s="11" t="inlineStr">
        <is>
          <t>عدد</t>
        </is>
      </c>
      <c r="J395" s="10" t="n">
        <v>4</v>
      </c>
      <c r="K395" s="10" t="n">
        <v>1</v>
      </c>
      <c r="L395" s="11" t="inlineStr">
        <is>
          <t>11</t>
        </is>
      </c>
      <c r="M395" s="10" t="n">
        <v>1</v>
      </c>
      <c r="N395" s="10" t="n">
        <v>50</v>
      </c>
      <c r="O395" s="10">
        <f>N395</f>
        <v>50</v>
      </c>
      <c r="P395" s="11" t="inlineStr">
        <is>
          <t>سهم درصد استفاده BOM</t>
        </is>
      </c>
      <c r="Q395" s="10">
        <f>SUMIFS('ورودی برنامه'!$D$4:$D$16,'ورودی برنامه'!$A$4:$A$16,A395,'ورودی برنامه'!$C$4:$C$16,C395)</f>
        <v>630</v>
      </c>
      <c r="R395" s="10">
        <f>SUMIFS('ورودی برنامه'!$E$4:$E$16,'ورودی برنامه'!$A$4:$A$16,A395,'ورودی برنامه'!$C$4:$C$16,C395)</f>
        <v>360</v>
      </c>
      <c r="S395" s="10">
        <f>ROUND(Q395*J395/K395*O395/100,10)</f>
        <v>1260</v>
      </c>
      <c r="T395" s="10">
        <f>ROUND(R395*J395/K395*O395/100,10)</f>
        <v>720</v>
      </c>
      <c r="U395" s="10" t="n">
        <v>2520</v>
      </c>
      <c r="V395" s="10" t="n">
        <v>1440</v>
      </c>
    </row>
    <row r="396" ht="20" customHeight="1">
      <c r="A396" s="5" t="n">
        <v>1201963</v>
      </c>
      <c r="B396" s="6" t="inlineStr">
        <is>
          <t>جلوآمپر کنترل ماشینی شده ICN1-DENA-HPT-THT</t>
        </is>
      </c>
      <c r="C396" s="6" t="inlineStr">
        <is>
          <t>12019630303</t>
        </is>
      </c>
      <c r="D396" s="6" t="inlineStr">
        <is>
          <t>1405/06/22</t>
        </is>
      </c>
      <c r="E396" s="9" t="n"/>
      <c r="F396" s="5" t="n">
        <v>846</v>
      </c>
      <c r="G396" s="5" t="n">
        <v>1101041</v>
      </c>
      <c r="H396" s="6" t="inlineStr">
        <is>
          <t>Resistor 2.2K,5%,1/10W</t>
        </is>
      </c>
      <c r="I396" s="6" t="inlineStr">
        <is>
          <t>عدد</t>
        </is>
      </c>
      <c r="J396" s="5" t="n">
        <v>4</v>
      </c>
      <c r="K396" s="5" t="n">
        <v>1</v>
      </c>
      <c r="L396" s="6" t="inlineStr">
        <is>
          <t>-</t>
        </is>
      </c>
      <c r="M396" s="9" t="n"/>
      <c r="N396" s="9" t="n"/>
      <c r="O396" s="5" t="n">
        <v>100</v>
      </c>
      <c r="P396" s="6" t="inlineStr">
        <is>
          <t>مصرف مستقیم</t>
        </is>
      </c>
      <c r="Q396" s="5">
        <f>SUMIFS('ورودی برنامه'!$D$4:$D$16,'ورودی برنامه'!$A$4:$A$16,A396,'ورودی برنامه'!$C$4:$C$16,C396)</f>
        <v>630</v>
      </c>
      <c r="R396" s="5">
        <f>SUMIFS('ورودی برنامه'!$E$4:$E$16,'ورودی برنامه'!$A$4:$A$16,A396,'ورودی برنامه'!$C$4:$C$16,C396)</f>
        <v>360</v>
      </c>
      <c r="S396" s="5">
        <f>ROUND(Q396*J396/K396*O396/100,10)</f>
        <v>2520</v>
      </c>
      <c r="T396" s="5">
        <f>ROUND(R396*J396/K396*O396/100,10)</f>
        <v>1440</v>
      </c>
      <c r="U396" s="5" t="n">
        <v>2520</v>
      </c>
      <c r="V396" s="5" t="n">
        <v>1440</v>
      </c>
    </row>
    <row r="397" ht="20" customHeight="1">
      <c r="A397" s="10" t="n">
        <v>1201963</v>
      </c>
      <c r="B397" s="11" t="inlineStr">
        <is>
          <t>جلوآمپر کنترل ماشینی شده ICN1-DENA-HPT-THT</t>
        </is>
      </c>
      <c r="C397" s="11" t="inlineStr">
        <is>
          <t>12019630303</t>
        </is>
      </c>
      <c r="D397" s="11" t="inlineStr">
        <is>
          <t>1405/06/22</t>
        </is>
      </c>
      <c r="E397" s="13" t="n"/>
      <c r="F397" s="10" t="n">
        <v>879</v>
      </c>
      <c r="G397" s="10" t="n">
        <v>1101045</v>
      </c>
      <c r="H397" s="11" t="inlineStr">
        <is>
          <t>Resistor 5.6K,5%,1/10W</t>
        </is>
      </c>
      <c r="I397" s="11" t="inlineStr">
        <is>
          <t>عدد</t>
        </is>
      </c>
      <c r="J397" s="10" t="n">
        <v>1</v>
      </c>
      <c r="K397" s="10" t="n">
        <v>1</v>
      </c>
      <c r="L397" s="11" t="inlineStr">
        <is>
          <t>-</t>
        </is>
      </c>
      <c r="M397" s="13" t="n"/>
      <c r="N397" s="13" t="n"/>
      <c r="O397" s="10" t="n">
        <v>100</v>
      </c>
      <c r="P397" s="11" t="inlineStr">
        <is>
          <t>مصرف مستقیم</t>
        </is>
      </c>
      <c r="Q397" s="10">
        <f>SUMIFS('ورودی برنامه'!$D$4:$D$16,'ورودی برنامه'!$A$4:$A$16,A397,'ورودی برنامه'!$C$4:$C$16,C397)</f>
        <v>630</v>
      </c>
      <c r="R397" s="10">
        <f>SUMIFS('ورودی برنامه'!$E$4:$E$16,'ورودی برنامه'!$A$4:$A$16,A397,'ورودی برنامه'!$C$4:$C$16,C397)</f>
        <v>360</v>
      </c>
      <c r="S397" s="10">
        <f>ROUND(Q397*J397/K397*O397/100,10)</f>
        <v>630</v>
      </c>
      <c r="T397" s="10">
        <f>ROUND(R397*J397/K397*O397/100,10)</f>
        <v>360</v>
      </c>
      <c r="U397" s="10" t="n">
        <v>630</v>
      </c>
      <c r="V397" s="10" t="n">
        <v>360</v>
      </c>
    </row>
    <row r="398" ht="20" customHeight="1">
      <c r="A398" s="5" t="n">
        <v>1201963</v>
      </c>
      <c r="B398" s="6" t="inlineStr">
        <is>
          <t>جلوآمپر کنترل ماشینی شده ICN1-DENA-HPT-THT</t>
        </is>
      </c>
      <c r="C398" s="6" t="inlineStr">
        <is>
          <t>12019630303</t>
        </is>
      </c>
      <c r="D398" s="6" t="inlineStr">
        <is>
          <t>1405/06/22</t>
        </is>
      </c>
      <c r="E398" s="9" t="n"/>
      <c r="F398" s="5" t="n">
        <v>920</v>
      </c>
      <c r="G398" s="5" t="n">
        <v>1110558</v>
      </c>
      <c r="H398" s="6" t="inlineStr">
        <is>
          <t>(0603) Capacitor 27N,50V,10% X7R</t>
        </is>
      </c>
      <c r="I398" s="6" t="inlineStr">
        <is>
          <t>عدد</t>
        </is>
      </c>
      <c r="J398" s="5" t="n">
        <v>1</v>
      </c>
      <c r="K398" s="5" t="n">
        <v>1</v>
      </c>
      <c r="L398" s="6" t="inlineStr">
        <is>
          <t>-</t>
        </is>
      </c>
      <c r="M398" s="9" t="n"/>
      <c r="N398" s="9" t="n"/>
      <c r="O398" s="5" t="n">
        <v>100</v>
      </c>
      <c r="P398" s="6" t="inlineStr">
        <is>
          <t>مصرف مستقیم</t>
        </is>
      </c>
      <c r="Q398" s="5">
        <f>SUMIFS('ورودی برنامه'!$D$4:$D$16,'ورودی برنامه'!$A$4:$A$16,A398,'ورودی برنامه'!$C$4:$C$16,C398)</f>
        <v>630</v>
      </c>
      <c r="R398" s="5">
        <f>SUMIFS('ورودی برنامه'!$E$4:$E$16,'ورودی برنامه'!$A$4:$A$16,A398,'ورودی برنامه'!$C$4:$C$16,C398)</f>
        <v>360</v>
      </c>
      <c r="S398" s="5">
        <f>ROUND(Q398*J398/K398*O398/100,10)</f>
        <v>630</v>
      </c>
      <c r="T398" s="5">
        <f>ROUND(R398*J398/K398*O398/100,10)</f>
        <v>360</v>
      </c>
      <c r="U398" s="5" t="n">
        <v>630</v>
      </c>
      <c r="V398" s="5" t="n">
        <v>360</v>
      </c>
    </row>
    <row r="399" ht="20" customHeight="1">
      <c r="A399" s="10" t="n">
        <v>1201963</v>
      </c>
      <c r="B399" s="11" t="inlineStr">
        <is>
          <t>جلوآمپر کنترل ماشینی شده ICN1-DENA-HPT-THT</t>
        </is>
      </c>
      <c r="C399" s="11" t="inlineStr">
        <is>
          <t>12019630303</t>
        </is>
      </c>
      <c r="D399" s="11" t="inlineStr">
        <is>
          <t>1405/06/22</t>
        </is>
      </c>
      <c r="E399" s="13" t="n"/>
      <c r="F399" s="10" t="n">
        <v>5717</v>
      </c>
      <c r="G399" s="10" t="n">
        <v>1100115</v>
      </c>
      <c r="H399" s="11" t="inlineStr">
        <is>
          <t>PCB ICN1_Dena_RL78_100Pin_C2(050213)</t>
        </is>
      </c>
      <c r="I399" s="11" t="inlineStr">
        <is>
          <t>عدد(شمارشی)</t>
        </is>
      </c>
      <c r="J399" s="10" t="n">
        <v>1</v>
      </c>
      <c r="K399" s="10" t="n">
        <v>1</v>
      </c>
      <c r="L399" s="11" t="inlineStr">
        <is>
          <t>-</t>
        </is>
      </c>
      <c r="M399" s="13" t="n"/>
      <c r="N399" s="13" t="n"/>
      <c r="O399" s="10" t="n">
        <v>100</v>
      </c>
      <c r="P399" s="11" t="inlineStr">
        <is>
          <t>مصرف مستقیم</t>
        </is>
      </c>
      <c r="Q399" s="10">
        <f>SUMIFS('ورودی برنامه'!$D$4:$D$16,'ورودی برنامه'!$A$4:$A$16,A399,'ورودی برنامه'!$C$4:$C$16,C399)</f>
        <v>630</v>
      </c>
      <c r="R399" s="10">
        <f>SUMIFS('ورودی برنامه'!$E$4:$E$16,'ورودی برنامه'!$A$4:$A$16,A399,'ورودی برنامه'!$C$4:$C$16,C399)</f>
        <v>360</v>
      </c>
      <c r="S399" s="10">
        <f>ROUND(Q399*J399/K399*O399/100,10)</f>
        <v>630</v>
      </c>
      <c r="T399" s="10">
        <f>ROUND(R399*J399/K399*O399/100,10)</f>
        <v>360</v>
      </c>
      <c r="U399" s="10" t="n">
        <v>630</v>
      </c>
      <c r="V399" s="10" t="n">
        <v>360</v>
      </c>
    </row>
    <row r="400" ht="20" customHeight="1">
      <c r="A400" s="5" t="n">
        <v>1201963</v>
      </c>
      <c r="B400" s="6" t="inlineStr">
        <is>
          <t>جلوآمپر کنترل ماشینی شده ICN1-DENA-HPT-THT</t>
        </is>
      </c>
      <c r="C400" s="6" t="inlineStr">
        <is>
          <t>12019630303</t>
        </is>
      </c>
      <c r="D400" s="6" t="inlineStr">
        <is>
          <t>1405/06/22</t>
        </is>
      </c>
      <c r="E400" s="9" t="n"/>
      <c r="F400" s="5" t="n">
        <v>6045</v>
      </c>
      <c r="G400" s="5" t="n">
        <v>1110303</v>
      </c>
      <c r="H400" s="6" t="inlineStr">
        <is>
          <t>Resistor 4.7K,5%,1/12W</t>
        </is>
      </c>
      <c r="I400" s="6" t="inlineStr">
        <is>
          <t>عدد</t>
        </is>
      </c>
      <c r="J400" s="5" t="n">
        <v>4</v>
      </c>
      <c r="K400" s="5" t="n">
        <v>1</v>
      </c>
      <c r="L400" s="6" t="inlineStr">
        <is>
          <t>13</t>
        </is>
      </c>
      <c r="M400" s="5" t="n">
        <v>1</v>
      </c>
      <c r="N400" s="5" t="n">
        <v>50</v>
      </c>
      <c r="O400" s="5">
        <f>N400</f>
        <v>50</v>
      </c>
      <c r="P400" s="6" t="inlineStr">
        <is>
          <t>سهم درصد استفاده BOM</t>
        </is>
      </c>
      <c r="Q400" s="5">
        <f>SUMIFS('ورودی برنامه'!$D$4:$D$16,'ورودی برنامه'!$A$4:$A$16,A400,'ورودی برنامه'!$C$4:$C$16,C400)</f>
        <v>630</v>
      </c>
      <c r="R400" s="5">
        <f>SUMIFS('ورودی برنامه'!$E$4:$E$16,'ورودی برنامه'!$A$4:$A$16,A400,'ورودی برنامه'!$C$4:$C$16,C400)</f>
        <v>360</v>
      </c>
      <c r="S400" s="5">
        <f>ROUND(Q400*J400/K400*O400/100,10)</f>
        <v>1260</v>
      </c>
      <c r="T400" s="5">
        <f>ROUND(R400*J400/K400*O400/100,10)</f>
        <v>720</v>
      </c>
      <c r="U400" s="5" t="n">
        <v>2520</v>
      </c>
      <c r="V400" s="5" t="n">
        <v>1440</v>
      </c>
    </row>
    <row r="401" ht="20" customHeight="1">
      <c r="A401" s="10" t="n">
        <v>1201963</v>
      </c>
      <c r="B401" s="11" t="inlineStr">
        <is>
          <t>جلوآمپر کنترل ماشینی شده ICN1-DENA-HPT-THT</t>
        </is>
      </c>
      <c r="C401" s="11" t="inlineStr">
        <is>
          <t>12019630303</t>
        </is>
      </c>
      <c r="D401" s="11" t="inlineStr">
        <is>
          <t>1405/06/22</t>
        </is>
      </c>
      <c r="E401" s="13" t="n"/>
      <c r="F401" s="10" t="n">
        <v>6329</v>
      </c>
      <c r="G401" s="10" t="n">
        <v>1110903</v>
      </c>
      <c r="H401" s="11" t="inlineStr">
        <is>
          <t>Diode 1N4007</t>
        </is>
      </c>
      <c r="I401" s="11" t="inlineStr">
        <is>
          <t>عدد</t>
        </is>
      </c>
      <c r="J401" s="10" t="n">
        <v>2</v>
      </c>
      <c r="K401" s="10" t="n">
        <v>1</v>
      </c>
      <c r="L401" s="11" t="inlineStr">
        <is>
          <t>2</t>
        </is>
      </c>
      <c r="M401" s="10" t="n">
        <v>1</v>
      </c>
      <c r="N401" s="10" t="n">
        <v>50</v>
      </c>
      <c r="O401" s="10">
        <f>N401</f>
        <v>50</v>
      </c>
      <c r="P401" s="11" t="inlineStr">
        <is>
          <t>سهم درصد استفاده BOM</t>
        </is>
      </c>
      <c r="Q401" s="10">
        <f>SUMIFS('ورودی برنامه'!$D$4:$D$16,'ورودی برنامه'!$A$4:$A$16,A401,'ورودی برنامه'!$C$4:$C$16,C401)</f>
        <v>630</v>
      </c>
      <c r="R401" s="10">
        <f>SUMIFS('ورودی برنامه'!$E$4:$E$16,'ورودی برنامه'!$A$4:$A$16,A401,'ورودی برنامه'!$C$4:$C$16,C401)</f>
        <v>360</v>
      </c>
      <c r="S401" s="10">
        <f>ROUND(Q401*J401/K401*O401/100,10)</f>
        <v>630</v>
      </c>
      <c r="T401" s="10">
        <f>ROUND(R401*J401/K401*O401/100,10)</f>
        <v>360</v>
      </c>
      <c r="U401" s="10" t="n">
        <v>1260</v>
      </c>
      <c r="V401" s="10" t="n">
        <v>720</v>
      </c>
    </row>
    <row r="402" ht="20" customHeight="1">
      <c r="A402" s="5" t="n">
        <v>1201963</v>
      </c>
      <c r="B402" s="6" t="inlineStr">
        <is>
          <t>جلوآمپر کنترل ماشینی شده ICN1-DENA-HPT-THT</t>
        </is>
      </c>
      <c r="C402" s="6" t="inlineStr">
        <is>
          <t>12019630303</t>
        </is>
      </c>
      <c r="D402" s="6" t="inlineStr">
        <is>
          <t>1405/06/22</t>
        </is>
      </c>
      <c r="E402" s="9" t="n"/>
      <c r="F402" s="5" t="n">
        <v>7001</v>
      </c>
      <c r="G402" s="5" t="n">
        <v>1110293</v>
      </c>
      <c r="H402" s="6" t="inlineStr">
        <is>
          <t>Resistor 2.2K,1%,1/4W</t>
        </is>
      </c>
      <c r="I402" s="6" t="inlineStr">
        <is>
          <t>عدد</t>
        </is>
      </c>
      <c r="J402" s="5" t="n">
        <v>1</v>
      </c>
      <c r="K402" s="5" t="n">
        <v>1</v>
      </c>
      <c r="L402" s="6" t="inlineStr">
        <is>
          <t>17</t>
        </is>
      </c>
      <c r="M402" s="5" t="n">
        <v>2</v>
      </c>
      <c r="N402" s="5" t="n">
        <v>50</v>
      </c>
      <c r="O402" s="5">
        <f>N402</f>
        <v>50</v>
      </c>
      <c r="P402" s="6" t="inlineStr">
        <is>
          <t>سهم درصد استفاده BOM</t>
        </is>
      </c>
      <c r="Q402" s="5">
        <f>SUMIFS('ورودی برنامه'!$D$4:$D$16,'ورودی برنامه'!$A$4:$A$16,A402,'ورودی برنامه'!$C$4:$C$16,C402)</f>
        <v>630</v>
      </c>
      <c r="R402" s="5">
        <f>SUMIFS('ورودی برنامه'!$E$4:$E$16,'ورودی برنامه'!$A$4:$A$16,A402,'ورودی برنامه'!$C$4:$C$16,C402)</f>
        <v>360</v>
      </c>
      <c r="S402" s="5">
        <f>ROUND(Q402*J402/K402*O402/100,10)</f>
        <v>315</v>
      </c>
      <c r="T402" s="5">
        <f>ROUND(R402*J402/K402*O402/100,10)</f>
        <v>180</v>
      </c>
      <c r="U402" s="5" t="n">
        <v>0</v>
      </c>
      <c r="V402" s="5" t="n">
        <v>0</v>
      </c>
    </row>
    <row r="403" ht="20" customHeight="1">
      <c r="A403" s="10" t="n">
        <v>1201963</v>
      </c>
      <c r="B403" s="11" t="inlineStr">
        <is>
          <t>جلوآمپر کنترل ماشینی شده ICN1-DENA-HPT-THT</t>
        </is>
      </c>
      <c r="C403" s="11" t="inlineStr">
        <is>
          <t>12019630303</t>
        </is>
      </c>
      <c r="D403" s="11" t="inlineStr">
        <is>
          <t>1405/06/22</t>
        </is>
      </c>
      <c r="E403" s="13" t="n"/>
      <c r="F403" s="10" t="n">
        <v>7106</v>
      </c>
      <c r="G403" s="10" t="n">
        <v>1110229</v>
      </c>
      <c r="H403" s="11" t="inlineStr">
        <is>
          <t>Resistor 680,5%,1/4W.</t>
        </is>
      </c>
      <c r="I403" s="11" t="inlineStr">
        <is>
          <t>عدد</t>
        </is>
      </c>
      <c r="J403" s="10" t="n">
        <v>18</v>
      </c>
      <c r="K403" s="10" t="n">
        <v>1</v>
      </c>
      <c r="L403" s="11" t="inlineStr">
        <is>
          <t>7</t>
        </is>
      </c>
      <c r="M403" s="10" t="n">
        <v>1</v>
      </c>
      <c r="N403" s="10" t="n">
        <v>50</v>
      </c>
      <c r="O403" s="10">
        <f>N403</f>
        <v>50</v>
      </c>
      <c r="P403" s="11" t="inlineStr">
        <is>
          <t>سهم درصد استفاده BOM</t>
        </is>
      </c>
      <c r="Q403" s="10">
        <f>SUMIFS('ورودی برنامه'!$D$4:$D$16,'ورودی برنامه'!$A$4:$A$16,A403,'ورودی برنامه'!$C$4:$C$16,C403)</f>
        <v>630</v>
      </c>
      <c r="R403" s="10">
        <f>SUMIFS('ورودی برنامه'!$E$4:$E$16,'ورودی برنامه'!$A$4:$A$16,A403,'ورودی برنامه'!$C$4:$C$16,C403)</f>
        <v>360</v>
      </c>
      <c r="S403" s="10">
        <f>ROUND(Q403*J403/K403*O403/100,10)</f>
        <v>5670</v>
      </c>
      <c r="T403" s="10">
        <f>ROUND(R403*J403/K403*O403/100,10)</f>
        <v>3240</v>
      </c>
      <c r="U403" s="10" t="n">
        <v>11340</v>
      </c>
      <c r="V403" s="10" t="n">
        <v>6480</v>
      </c>
    </row>
    <row r="404" ht="20" customHeight="1">
      <c r="A404" s="5" t="n">
        <v>1201963</v>
      </c>
      <c r="B404" s="6" t="inlineStr">
        <is>
          <t>جلوآمپر کنترل ماشینی شده ICN1-DENA-HPT-THT</t>
        </is>
      </c>
      <c r="C404" s="6" t="inlineStr">
        <is>
          <t>12019630303</t>
        </is>
      </c>
      <c r="D404" s="6" t="inlineStr">
        <is>
          <t>1405/06/22</t>
        </is>
      </c>
      <c r="E404" s="9" t="n"/>
      <c r="F404" s="5" t="n">
        <v>7632</v>
      </c>
      <c r="G404" s="5" t="n">
        <v>1110223</v>
      </c>
      <c r="H404" s="6" t="inlineStr">
        <is>
          <t>Resistor 470,5%,1/4w.</t>
        </is>
      </c>
      <c r="I404" s="6" t="inlineStr">
        <is>
          <t>عدد</t>
        </is>
      </c>
      <c r="J404" s="5" t="n">
        <v>2</v>
      </c>
      <c r="K404" s="5" t="n">
        <v>1</v>
      </c>
      <c r="L404" s="6" t="inlineStr">
        <is>
          <t>16</t>
        </is>
      </c>
      <c r="M404" s="5" t="n">
        <v>1</v>
      </c>
      <c r="N404" s="5" t="n">
        <v>50</v>
      </c>
      <c r="O404" s="5">
        <f>N404</f>
        <v>50</v>
      </c>
      <c r="P404" s="6" t="inlineStr">
        <is>
          <t>سهم درصد استفاده BOM</t>
        </is>
      </c>
      <c r="Q404" s="5">
        <f>SUMIFS('ورودی برنامه'!$D$4:$D$16,'ورودی برنامه'!$A$4:$A$16,A404,'ورودی برنامه'!$C$4:$C$16,C404)</f>
        <v>630</v>
      </c>
      <c r="R404" s="5">
        <f>SUMIFS('ورودی برنامه'!$E$4:$E$16,'ورودی برنامه'!$A$4:$A$16,A404,'ورودی برنامه'!$C$4:$C$16,C404)</f>
        <v>360</v>
      </c>
      <c r="S404" s="5">
        <f>ROUND(Q404*J404/K404*O404/100,10)</f>
        <v>630</v>
      </c>
      <c r="T404" s="5">
        <f>ROUND(R404*J404/K404*O404/100,10)</f>
        <v>360</v>
      </c>
      <c r="U404" s="5" t="n">
        <v>1260</v>
      </c>
      <c r="V404" s="5" t="n">
        <v>720</v>
      </c>
    </row>
    <row r="405" ht="20" customHeight="1">
      <c r="A405" s="10" t="n">
        <v>1201963</v>
      </c>
      <c r="B405" s="11" t="inlineStr">
        <is>
          <t>جلوآمپر کنترل ماشینی شده ICN1-DENA-HPT-THT</t>
        </is>
      </c>
      <c r="C405" s="11" t="inlineStr">
        <is>
          <t>12019630303</t>
        </is>
      </c>
      <c r="D405" s="11" t="inlineStr">
        <is>
          <t>1405/06/22</t>
        </is>
      </c>
      <c r="E405" s="13" t="n"/>
      <c r="F405" s="10" t="n">
        <v>7725</v>
      </c>
      <c r="G405" s="10" t="n">
        <v>1110285</v>
      </c>
      <c r="H405" s="11" t="inlineStr">
        <is>
          <t>Resistor 1.5k,1%,1/4w</t>
        </is>
      </c>
      <c r="I405" s="11" t="inlineStr">
        <is>
          <t>عدد</t>
        </is>
      </c>
      <c r="J405" s="10" t="n">
        <v>1</v>
      </c>
      <c r="K405" s="10" t="n">
        <v>1</v>
      </c>
      <c r="L405" s="11" t="inlineStr">
        <is>
          <t>20</t>
        </is>
      </c>
      <c r="M405" s="10" t="n">
        <v>2</v>
      </c>
      <c r="N405" s="10" t="n">
        <v>50</v>
      </c>
      <c r="O405" s="10">
        <f>N405</f>
        <v>50</v>
      </c>
      <c r="P405" s="11" t="inlineStr">
        <is>
          <t>سهم درصد استفاده BOM</t>
        </is>
      </c>
      <c r="Q405" s="10">
        <f>SUMIFS('ورودی برنامه'!$D$4:$D$16,'ورودی برنامه'!$A$4:$A$16,A405,'ورودی برنامه'!$C$4:$C$16,C405)</f>
        <v>630</v>
      </c>
      <c r="R405" s="10">
        <f>SUMIFS('ورودی برنامه'!$E$4:$E$16,'ورودی برنامه'!$A$4:$A$16,A405,'ورودی برنامه'!$C$4:$C$16,C405)</f>
        <v>360</v>
      </c>
      <c r="S405" s="10">
        <f>ROUND(Q405*J405/K405*O405/100,10)</f>
        <v>315</v>
      </c>
      <c r="T405" s="10">
        <f>ROUND(R405*J405/K405*O405/100,10)</f>
        <v>180</v>
      </c>
      <c r="U405" s="10" t="n">
        <v>630</v>
      </c>
      <c r="V405" s="10" t="n">
        <v>360</v>
      </c>
    </row>
    <row r="406" ht="20" customHeight="1">
      <c r="A406" s="5" t="n">
        <v>1201963</v>
      </c>
      <c r="B406" s="6" t="inlineStr">
        <is>
          <t>جلوآمپر کنترل ماشینی شده ICN1-DENA-HPT-THT</t>
        </is>
      </c>
      <c r="C406" s="6" t="inlineStr">
        <is>
          <t>12019630303</t>
        </is>
      </c>
      <c r="D406" s="6" t="inlineStr">
        <is>
          <t>1405/06/22</t>
        </is>
      </c>
      <c r="E406" s="9" t="n"/>
      <c r="F406" s="5" t="n">
        <v>7740</v>
      </c>
      <c r="G406" s="5" t="n">
        <v>1110856</v>
      </c>
      <c r="H406" s="6" t="inlineStr">
        <is>
          <t>LED Red-RQS 170TS-DPE</t>
        </is>
      </c>
      <c r="I406" s="6" t="inlineStr">
        <is>
          <t>عدد</t>
        </is>
      </c>
      <c r="J406" s="5" t="n">
        <v>4</v>
      </c>
      <c r="K406" s="5" t="n">
        <v>1</v>
      </c>
      <c r="L406" s="6" t="inlineStr">
        <is>
          <t>-</t>
        </is>
      </c>
      <c r="M406" s="9" t="n"/>
      <c r="N406" s="9" t="n"/>
      <c r="O406" s="5" t="n">
        <v>100</v>
      </c>
      <c r="P406" s="6" t="inlineStr">
        <is>
          <t>مصرف مستقیم</t>
        </is>
      </c>
      <c r="Q406" s="5">
        <f>SUMIFS('ورودی برنامه'!$D$4:$D$16,'ورودی برنامه'!$A$4:$A$16,A406,'ورودی برنامه'!$C$4:$C$16,C406)</f>
        <v>630</v>
      </c>
      <c r="R406" s="5">
        <f>SUMIFS('ورودی برنامه'!$E$4:$E$16,'ورودی برنامه'!$A$4:$A$16,A406,'ورودی برنامه'!$C$4:$C$16,C406)</f>
        <v>360</v>
      </c>
      <c r="S406" s="5">
        <f>ROUND(Q406*J406/K406*O406/100,10)</f>
        <v>2520</v>
      </c>
      <c r="T406" s="5">
        <f>ROUND(R406*J406/K406*O406/100,10)</f>
        <v>1440</v>
      </c>
      <c r="U406" s="5" t="n">
        <v>2520</v>
      </c>
      <c r="V406" s="5" t="n">
        <v>1440</v>
      </c>
    </row>
    <row r="407" ht="20" customHeight="1">
      <c r="A407" s="10" t="n">
        <v>1201963</v>
      </c>
      <c r="B407" s="11" t="inlineStr">
        <is>
          <t>جلوآمپر کنترل ماشینی شده ICN1-DENA-HPT-THT</t>
        </is>
      </c>
      <c r="C407" s="11" t="inlineStr">
        <is>
          <t>12019630303</t>
        </is>
      </c>
      <c r="D407" s="11" t="inlineStr">
        <is>
          <t>1405/06/22</t>
        </is>
      </c>
      <c r="E407" s="13" t="n"/>
      <c r="F407" s="10" t="n">
        <v>7987</v>
      </c>
      <c r="G407" s="10" t="n">
        <v>1110857</v>
      </c>
      <c r="H407" s="11" t="inlineStr">
        <is>
          <t>LED-Red-RQDA31TZ-WPE</t>
        </is>
      </c>
      <c r="I407" s="11" t="inlineStr">
        <is>
          <t>عدد</t>
        </is>
      </c>
      <c r="J407" s="10" t="n">
        <v>12</v>
      </c>
      <c r="K407" s="10" t="n">
        <v>1</v>
      </c>
      <c r="L407" s="11" t="inlineStr">
        <is>
          <t>4</t>
        </is>
      </c>
      <c r="M407" s="10" t="n">
        <v>1</v>
      </c>
      <c r="N407" s="10" t="n">
        <v>50</v>
      </c>
      <c r="O407" s="10">
        <f>N407</f>
        <v>50</v>
      </c>
      <c r="P407" s="11" t="inlineStr">
        <is>
          <t>سهم درصد استفاده BOM</t>
        </is>
      </c>
      <c r="Q407" s="10">
        <f>SUMIFS('ورودی برنامه'!$D$4:$D$16,'ورودی برنامه'!$A$4:$A$16,A407,'ورودی برنامه'!$C$4:$C$16,C407)</f>
        <v>630</v>
      </c>
      <c r="R407" s="10">
        <f>SUMIFS('ورودی برنامه'!$E$4:$E$16,'ورودی برنامه'!$A$4:$A$16,A407,'ورودی برنامه'!$C$4:$C$16,C407)</f>
        <v>360</v>
      </c>
      <c r="S407" s="10">
        <f>ROUND(Q407*J407/K407*O407/100,10)</f>
        <v>3780</v>
      </c>
      <c r="T407" s="10">
        <f>ROUND(R407*J407/K407*O407/100,10)</f>
        <v>2160</v>
      </c>
      <c r="U407" s="10" t="n">
        <v>7560</v>
      </c>
      <c r="V407" s="10" t="n">
        <v>4320</v>
      </c>
    </row>
    <row r="408" ht="20" customHeight="1">
      <c r="A408" s="5" t="n">
        <v>1201963</v>
      </c>
      <c r="B408" s="6" t="inlineStr">
        <is>
          <t>جلوآمپر کنترل ماشینی شده ICN1-DENA-HPT-THT</t>
        </is>
      </c>
      <c r="C408" s="6" t="inlineStr">
        <is>
          <t>12019630303</t>
        </is>
      </c>
      <c r="D408" s="6" t="inlineStr">
        <is>
          <t>1405/06/22</t>
        </is>
      </c>
      <c r="E408" s="9" t="n"/>
      <c r="F408" s="5" t="n">
        <v>8275</v>
      </c>
      <c r="G408" s="5" t="n">
        <v>1110851</v>
      </c>
      <c r="H408" s="6" t="inlineStr">
        <is>
          <t>LED Yellow-LY T68B-T2V1-26</t>
        </is>
      </c>
      <c r="I408" s="6" t="inlineStr">
        <is>
          <t>عدد</t>
        </is>
      </c>
      <c r="J408" s="5" t="n">
        <v>12</v>
      </c>
      <c r="K408" s="5" t="n">
        <v>1</v>
      </c>
      <c r="L408" s="6" t="inlineStr">
        <is>
          <t>-</t>
        </is>
      </c>
      <c r="M408" s="9" t="n"/>
      <c r="N408" s="9" t="n"/>
      <c r="O408" s="5" t="n">
        <v>100</v>
      </c>
      <c r="P408" s="6" t="inlineStr">
        <is>
          <t>مصرف مستقیم</t>
        </is>
      </c>
      <c r="Q408" s="5">
        <f>SUMIFS('ورودی برنامه'!$D$4:$D$16,'ورودی برنامه'!$A$4:$A$16,A408,'ورودی برنامه'!$C$4:$C$16,C408)</f>
        <v>630</v>
      </c>
      <c r="R408" s="5">
        <f>SUMIFS('ورودی برنامه'!$E$4:$E$16,'ورودی برنامه'!$A$4:$A$16,A408,'ورودی برنامه'!$C$4:$C$16,C408)</f>
        <v>360</v>
      </c>
      <c r="S408" s="5">
        <f>ROUND(Q408*J408/K408*O408/100,10)</f>
        <v>7560</v>
      </c>
      <c r="T408" s="5">
        <f>ROUND(R408*J408/K408*O408/100,10)</f>
        <v>4320</v>
      </c>
      <c r="U408" s="5" t="n">
        <v>7560</v>
      </c>
      <c r="V408" s="5" t="n">
        <v>4320</v>
      </c>
    </row>
    <row r="409" ht="20" customHeight="1">
      <c r="A409" s="10" t="n">
        <v>1201963</v>
      </c>
      <c r="B409" s="11" t="inlineStr">
        <is>
          <t>جلوآمپر کنترل ماشینی شده ICN1-DENA-HPT-THT</t>
        </is>
      </c>
      <c r="C409" s="11" t="inlineStr">
        <is>
          <t>12019630303</t>
        </is>
      </c>
      <c r="D409" s="11" t="inlineStr">
        <is>
          <t>1405/06/22</t>
        </is>
      </c>
      <c r="E409" s="13" t="n"/>
      <c r="F409" s="10" t="n">
        <v>8294</v>
      </c>
      <c r="G409" s="10" t="n">
        <v>1110853</v>
      </c>
      <c r="H409" s="11" t="inlineStr">
        <is>
          <t>LED Green-LP T67K-F1G2-25</t>
        </is>
      </c>
      <c r="I409" s="11" t="inlineStr">
        <is>
          <t>عدد</t>
        </is>
      </c>
      <c r="J409" s="10" t="n">
        <v>3</v>
      </c>
      <c r="K409" s="10" t="n">
        <v>1</v>
      </c>
      <c r="L409" s="11" t="inlineStr">
        <is>
          <t>-</t>
        </is>
      </c>
      <c r="M409" s="13" t="n"/>
      <c r="N409" s="13" t="n"/>
      <c r="O409" s="10" t="n">
        <v>100</v>
      </c>
      <c r="P409" s="11" t="inlineStr">
        <is>
          <t>مصرف مستقیم</t>
        </is>
      </c>
      <c r="Q409" s="10">
        <f>SUMIFS('ورودی برنامه'!$D$4:$D$16,'ورودی برنامه'!$A$4:$A$16,A409,'ورودی برنامه'!$C$4:$C$16,C409)</f>
        <v>630</v>
      </c>
      <c r="R409" s="10">
        <f>SUMIFS('ورودی برنامه'!$E$4:$E$16,'ورودی برنامه'!$A$4:$A$16,A409,'ورودی برنامه'!$C$4:$C$16,C409)</f>
        <v>360</v>
      </c>
      <c r="S409" s="10">
        <f>ROUND(Q409*J409/K409*O409/100,10)</f>
        <v>1890</v>
      </c>
      <c r="T409" s="10">
        <f>ROUND(R409*J409/K409*O409/100,10)</f>
        <v>1080</v>
      </c>
      <c r="U409" s="10" t="n">
        <v>1890</v>
      </c>
      <c r="V409" s="10" t="n">
        <v>1080</v>
      </c>
    </row>
    <row r="410" ht="20" customHeight="1">
      <c r="A410" s="5" t="n">
        <v>1201963</v>
      </c>
      <c r="B410" s="6" t="inlineStr">
        <is>
          <t>جلوآمپر کنترل ماشینی شده ICN1-DENA-HPT-THT</t>
        </is>
      </c>
      <c r="C410" s="6" t="inlineStr">
        <is>
          <t>12019630303</t>
        </is>
      </c>
      <c r="D410" s="6" t="inlineStr">
        <is>
          <t>1405/06/22</t>
        </is>
      </c>
      <c r="E410" s="9" t="n"/>
      <c r="F410" s="5" t="n">
        <v>8454</v>
      </c>
      <c r="G410" s="5" t="n">
        <v>1110858</v>
      </c>
      <c r="H410" s="6" t="inlineStr">
        <is>
          <t>LED Blue-LB T676-K2L2-1</t>
        </is>
      </c>
      <c r="I410" s="6" t="inlineStr">
        <is>
          <t>عدد</t>
        </is>
      </c>
      <c r="J410" s="5" t="n">
        <v>1</v>
      </c>
      <c r="K410" s="5" t="n">
        <v>1</v>
      </c>
      <c r="L410" s="6" t="inlineStr">
        <is>
          <t>6</t>
        </is>
      </c>
      <c r="M410" s="5" t="n">
        <v>1</v>
      </c>
      <c r="N410" s="5" t="n">
        <v>34</v>
      </c>
      <c r="O410" s="5">
        <f>N410</f>
        <v>34</v>
      </c>
      <c r="P410" s="6" t="inlineStr">
        <is>
          <t>سهم درصد استفاده BOM</t>
        </is>
      </c>
      <c r="Q410" s="5">
        <f>SUMIFS('ورودی برنامه'!$D$4:$D$16,'ورودی برنامه'!$A$4:$A$16,A410,'ورودی برنامه'!$C$4:$C$16,C410)</f>
        <v>630</v>
      </c>
      <c r="R410" s="5">
        <f>SUMIFS('ورودی برنامه'!$E$4:$E$16,'ورودی برنامه'!$A$4:$A$16,A410,'ورودی برنامه'!$C$4:$C$16,C410)</f>
        <v>360</v>
      </c>
      <c r="S410" s="5">
        <f>ROUND(Q410*J410/K410*O410/100,10)</f>
        <v>214.2</v>
      </c>
      <c r="T410" s="5">
        <f>ROUND(R410*J410/K410*O410/100,10)</f>
        <v>122.4</v>
      </c>
      <c r="U410" s="5" t="n">
        <v>630</v>
      </c>
      <c r="V410" s="5" t="n">
        <v>360</v>
      </c>
    </row>
    <row r="411" ht="20" customHeight="1">
      <c r="A411" s="10" t="n">
        <v>1201963</v>
      </c>
      <c r="B411" s="11" t="inlineStr">
        <is>
          <t>جلوآمپر کنترل ماشینی شده ICN1-DENA-HPT-THT</t>
        </is>
      </c>
      <c r="C411" s="11" t="inlineStr">
        <is>
          <t>12019630303</t>
        </is>
      </c>
      <c r="D411" s="11" t="inlineStr">
        <is>
          <t>1405/06/22</t>
        </is>
      </c>
      <c r="E411" s="13" t="n"/>
      <c r="F411" s="10" t="n">
        <v>8972</v>
      </c>
      <c r="G411" s="10" t="n">
        <v>1110299</v>
      </c>
      <c r="H411" s="11" t="inlineStr">
        <is>
          <t>Resistor 3.3k,5%,1/4w</t>
        </is>
      </c>
      <c r="I411" s="11" t="inlineStr">
        <is>
          <t>عدد</t>
        </is>
      </c>
      <c r="J411" s="10" t="n">
        <v>6</v>
      </c>
      <c r="K411" s="10" t="n">
        <v>1</v>
      </c>
      <c r="L411" s="11" t="inlineStr">
        <is>
          <t>8</t>
        </is>
      </c>
      <c r="M411" s="10" t="n">
        <v>1</v>
      </c>
      <c r="N411" s="10" t="n">
        <v>50</v>
      </c>
      <c r="O411" s="10">
        <f>N411</f>
        <v>50</v>
      </c>
      <c r="P411" s="11" t="inlineStr">
        <is>
          <t>سهم درصد استفاده BOM</t>
        </is>
      </c>
      <c r="Q411" s="10">
        <f>SUMIFS('ورودی برنامه'!$D$4:$D$16,'ورودی برنامه'!$A$4:$A$16,A411,'ورودی برنامه'!$C$4:$C$16,C411)</f>
        <v>630</v>
      </c>
      <c r="R411" s="10">
        <f>SUMIFS('ورودی برنامه'!$E$4:$E$16,'ورودی برنامه'!$A$4:$A$16,A411,'ورودی برنامه'!$C$4:$C$16,C411)</f>
        <v>360</v>
      </c>
      <c r="S411" s="10">
        <f>ROUND(Q411*J411/K411*O411/100,10)</f>
        <v>1890</v>
      </c>
      <c r="T411" s="10">
        <f>ROUND(R411*J411/K411*O411/100,10)</f>
        <v>1080</v>
      </c>
      <c r="U411" s="10" t="n">
        <v>3780</v>
      </c>
      <c r="V411" s="10" t="n">
        <v>2160</v>
      </c>
    </row>
    <row r="412" ht="20" customHeight="1">
      <c r="A412" s="5" t="n">
        <v>1201963</v>
      </c>
      <c r="B412" s="6" t="inlineStr">
        <is>
          <t>جلوآمپر کنترل ماشینی شده ICN1-DENA-HPT-THT</t>
        </is>
      </c>
      <c r="C412" s="6" t="inlineStr">
        <is>
          <t>12019630303</t>
        </is>
      </c>
      <c r="D412" s="6" t="inlineStr">
        <is>
          <t>1405/06/22</t>
        </is>
      </c>
      <c r="E412" s="9" t="n"/>
      <c r="F412" s="5" t="n">
        <v>9278</v>
      </c>
      <c r="G412" s="5" t="n">
        <v>1110075</v>
      </c>
      <c r="H412" s="6" t="inlineStr">
        <is>
          <t>Capacitor 10N,50V,X7R,10%</t>
        </is>
      </c>
      <c r="I412" s="6" t="inlineStr">
        <is>
          <t>عدد</t>
        </is>
      </c>
      <c r="J412" s="5" t="n">
        <v>15</v>
      </c>
      <c r="K412" s="5" t="n">
        <v>1</v>
      </c>
      <c r="L412" s="6" t="inlineStr">
        <is>
          <t>-</t>
        </is>
      </c>
      <c r="M412" s="9" t="n"/>
      <c r="N412" s="9" t="n"/>
      <c r="O412" s="5" t="n">
        <v>100</v>
      </c>
      <c r="P412" s="6" t="inlineStr">
        <is>
          <t>مصرف مستقیم</t>
        </is>
      </c>
      <c r="Q412" s="5">
        <f>SUMIFS('ورودی برنامه'!$D$4:$D$16,'ورودی برنامه'!$A$4:$A$16,A412,'ورودی برنامه'!$C$4:$C$16,C412)</f>
        <v>630</v>
      </c>
      <c r="R412" s="5">
        <f>SUMIFS('ورودی برنامه'!$E$4:$E$16,'ورودی برنامه'!$A$4:$A$16,A412,'ورودی برنامه'!$C$4:$C$16,C412)</f>
        <v>360</v>
      </c>
      <c r="S412" s="5">
        <f>ROUND(Q412*J412/K412*O412/100,10)</f>
        <v>9450</v>
      </c>
      <c r="T412" s="5">
        <f>ROUND(R412*J412/K412*O412/100,10)</f>
        <v>5400</v>
      </c>
      <c r="U412" s="5" t="n">
        <v>9450</v>
      </c>
      <c r="V412" s="5" t="n">
        <v>5400</v>
      </c>
    </row>
    <row r="413" ht="20" customHeight="1">
      <c r="A413" s="10" t="n">
        <v>1201963</v>
      </c>
      <c r="B413" s="11" t="inlineStr">
        <is>
          <t>جلوآمپر کنترل ماشینی شده ICN1-DENA-HPT-THT</t>
        </is>
      </c>
      <c r="C413" s="11" t="inlineStr">
        <is>
          <t>12019630303</t>
        </is>
      </c>
      <c r="D413" s="11" t="inlineStr">
        <is>
          <t>1405/06/22</t>
        </is>
      </c>
      <c r="E413" s="13" t="n"/>
      <c r="F413" s="10" t="n">
        <v>9645</v>
      </c>
      <c r="G413" s="10" t="n">
        <v>1110960</v>
      </c>
      <c r="H413" s="11" t="inlineStr">
        <is>
          <t>LED Red LS</t>
        </is>
      </c>
      <c r="I413" s="11" t="inlineStr">
        <is>
          <t>عدد</t>
        </is>
      </c>
      <c r="J413" s="10" t="n">
        <v>12</v>
      </c>
      <c r="K413" s="10" t="n">
        <v>1</v>
      </c>
      <c r="L413" s="11" t="inlineStr">
        <is>
          <t>4</t>
        </is>
      </c>
      <c r="M413" s="10" t="n">
        <v>2</v>
      </c>
      <c r="N413" s="10" t="n">
        <v>50</v>
      </c>
      <c r="O413" s="10">
        <f>N413</f>
        <v>50</v>
      </c>
      <c r="P413" s="11" t="inlineStr">
        <is>
          <t>سهم درصد استفاده BOM</t>
        </is>
      </c>
      <c r="Q413" s="10">
        <f>SUMIFS('ورودی برنامه'!$D$4:$D$16,'ورودی برنامه'!$A$4:$A$16,A413,'ورودی برنامه'!$C$4:$C$16,C413)</f>
        <v>630</v>
      </c>
      <c r="R413" s="10">
        <f>SUMIFS('ورودی برنامه'!$E$4:$E$16,'ورودی برنامه'!$A$4:$A$16,A413,'ورودی برنامه'!$C$4:$C$16,C413)</f>
        <v>360</v>
      </c>
      <c r="S413" s="10">
        <f>ROUND(Q413*J413/K413*O413/100,10)</f>
        <v>3780</v>
      </c>
      <c r="T413" s="10">
        <f>ROUND(R413*J413/K413*O413/100,10)</f>
        <v>2160</v>
      </c>
      <c r="U413" s="10" t="n">
        <v>0</v>
      </c>
      <c r="V413" s="10" t="n">
        <v>0</v>
      </c>
    </row>
    <row r="414" ht="20" customHeight="1">
      <c r="A414" s="5" t="n">
        <v>1201963</v>
      </c>
      <c r="B414" s="6" t="inlineStr">
        <is>
          <t>جلوآمپر کنترل ماشینی شده ICN1-DENA-HPT-THT</t>
        </is>
      </c>
      <c r="C414" s="6" t="inlineStr">
        <is>
          <t>12019630303</t>
        </is>
      </c>
      <c r="D414" s="6" t="inlineStr">
        <is>
          <t>1405/06/22</t>
        </is>
      </c>
      <c r="E414" s="9" t="n"/>
      <c r="F414" s="5" t="n">
        <v>9844</v>
      </c>
      <c r="G414" s="5" t="n">
        <v>1110860</v>
      </c>
      <c r="H414" s="6" t="inlineStr">
        <is>
          <t>LED True Green</t>
        </is>
      </c>
      <c r="I414" s="6" t="inlineStr">
        <is>
          <t>عدد</t>
        </is>
      </c>
      <c r="J414" s="5" t="n">
        <v>3</v>
      </c>
      <c r="K414" s="5" t="n">
        <v>1</v>
      </c>
      <c r="L414" s="6" t="inlineStr">
        <is>
          <t>5</t>
        </is>
      </c>
      <c r="M414" s="5" t="n">
        <v>1</v>
      </c>
      <c r="N414" s="5" t="n">
        <v>50</v>
      </c>
      <c r="O414" s="5">
        <f>N414</f>
        <v>50</v>
      </c>
      <c r="P414" s="6" t="inlineStr">
        <is>
          <t>سهم درصد استفاده BOM</t>
        </is>
      </c>
      <c r="Q414" s="5">
        <f>SUMIFS('ورودی برنامه'!$D$4:$D$16,'ورودی برنامه'!$A$4:$A$16,A414,'ورودی برنامه'!$C$4:$C$16,C414)</f>
        <v>630</v>
      </c>
      <c r="R414" s="5">
        <f>SUMIFS('ورودی برنامه'!$E$4:$E$16,'ورودی برنامه'!$A$4:$A$16,A414,'ورودی برنامه'!$C$4:$C$16,C414)</f>
        <v>360</v>
      </c>
      <c r="S414" s="5">
        <f>ROUND(Q414*J414/K414*O414/100,10)</f>
        <v>945</v>
      </c>
      <c r="T414" s="5">
        <f>ROUND(R414*J414/K414*O414/100,10)</f>
        <v>540</v>
      </c>
      <c r="U414" s="5" t="n">
        <v>1890</v>
      </c>
      <c r="V414" s="5" t="n">
        <v>1080</v>
      </c>
    </row>
    <row r="415" ht="20" customHeight="1">
      <c r="A415" s="10" t="n">
        <v>1201963</v>
      </c>
      <c r="B415" s="11" t="inlineStr">
        <is>
          <t>جلوآمپر کنترل ماشینی شده ICN1-DENA-HPT-THT</t>
        </is>
      </c>
      <c r="C415" s="11" t="inlineStr">
        <is>
          <t>12019630303</t>
        </is>
      </c>
      <c r="D415" s="11" t="inlineStr">
        <is>
          <t>1405/06/22</t>
        </is>
      </c>
      <c r="E415" s="13" t="n"/>
      <c r="F415" s="10" t="n">
        <v>10513</v>
      </c>
      <c r="G415" s="10" t="n">
        <v>1110200</v>
      </c>
      <c r="H415" s="11" t="inlineStr">
        <is>
          <t>Resistor 10,1%,1/4W,1206</t>
        </is>
      </c>
      <c r="I415" s="11" t="inlineStr">
        <is>
          <t>عدد</t>
        </is>
      </c>
      <c r="J415" s="10" t="n">
        <v>1</v>
      </c>
      <c r="K415" s="10" t="n">
        <v>1</v>
      </c>
      <c r="L415" s="11" t="inlineStr">
        <is>
          <t>-</t>
        </is>
      </c>
      <c r="M415" s="13" t="n"/>
      <c r="N415" s="13" t="n"/>
      <c r="O415" s="10" t="n">
        <v>100</v>
      </c>
      <c r="P415" s="11" t="inlineStr">
        <is>
          <t>مصرف مستقیم</t>
        </is>
      </c>
      <c r="Q415" s="10">
        <f>SUMIFS('ورودی برنامه'!$D$4:$D$16,'ورودی برنامه'!$A$4:$A$16,A415,'ورودی برنامه'!$C$4:$C$16,C415)</f>
        <v>630</v>
      </c>
      <c r="R415" s="10">
        <f>SUMIFS('ورودی برنامه'!$E$4:$E$16,'ورودی برنامه'!$A$4:$A$16,A415,'ورودی برنامه'!$C$4:$C$16,C415)</f>
        <v>360</v>
      </c>
      <c r="S415" s="10">
        <f>ROUND(Q415*J415/K415*O415/100,10)</f>
        <v>630</v>
      </c>
      <c r="T415" s="10">
        <f>ROUND(R415*J415/K415*O415/100,10)</f>
        <v>360</v>
      </c>
      <c r="U415" s="10" t="n">
        <v>630</v>
      </c>
      <c r="V415" s="10" t="n">
        <v>360</v>
      </c>
    </row>
    <row r="416" ht="20" customHeight="1">
      <c r="A416" s="5" t="n">
        <v>1201963</v>
      </c>
      <c r="B416" s="6" t="inlineStr">
        <is>
          <t>جلوآمپر کنترل ماشینی شده ICN1-DENA-HPT-THT</t>
        </is>
      </c>
      <c r="C416" s="6" t="inlineStr">
        <is>
          <t>12019630303</t>
        </is>
      </c>
      <c r="D416" s="6" t="inlineStr">
        <is>
          <t>1405/06/22</t>
        </is>
      </c>
      <c r="E416" s="9" t="n"/>
      <c r="F416" s="5" t="n">
        <v>10842</v>
      </c>
      <c r="G416" s="5" t="n">
        <v>1110226</v>
      </c>
      <c r="H416" s="6" t="inlineStr">
        <is>
          <t>Resistor 560,5%,1/4w</t>
        </is>
      </c>
      <c r="I416" s="6" t="inlineStr">
        <is>
          <t>عدد</t>
        </is>
      </c>
      <c r="J416" s="5" t="n">
        <v>5</v>
      </c>
      <c r="K416" s="5" t="n">
        <v>1</v>
      </c>
      <c r="L416" s="6" t="inlineStr">
        <is>
          <t>15</t>
        </is>
      </c>
      <c r="M416" s="5" t="n">
        <v>1</v>
      </c>
      <c r="N416" s="5" t="n">
        <v>50</v>
      </c>
      <c r="O416" s="5">
        <f>N416</f>
        <v>50</v>
      </c>
      <c r="P416" s="6" t="inlineStr">
        <is>
          <t>سهم درصد استفاده BOM</t>
        </is>
      </c>
      <c r="Q416" s="5">
        <f>SUMIFS('ورودی برنامه'!$D$4:$D$16,'ورودی برنامه'!$A$4:$A$16,A416,'ورودی برنامه'!$C$4:$C$16,C416)</f>
        <v>630</v>
      </c>
      <c r="R416" s="5">
        <f>SUMIFS('ورودی برنامه'!$E$4:$E$16,'ورودی برنامه'!$A$4:$A$16,A416,'ورودی برنامه'!$C$4:$C$16,C416)</f>
        <v>360</v>
      </c>
      <c r="S416" s="5">
        <f>ROUND(Q416*J416/K416*O416/100,10)</f>
        <v>1575</v>
      </c>
      <c r="T416" s="5">
        <f>ROUND(R416*J416/K416*O416/100,10)</f>
        <v>900</v>
      </c>
      <c r="U416" s="5" t="n">
        <v>3150</v>
      </c>
      <c r="V416" s="5" t="n">
        <v>1800</v>
      </c>
    </row>
    <row r="417" ht="20" customHeight="1">
      <c r="A417" s="10" t="n">
        <v>1201963</v>
      </c>
      <c r="B417" s="11" t="inlineStr">
        <is>
          <t>جلوآمپر کنترل ماشینی شده ICN1-DENA-HPT-THT</t>
        </is>
      </c>
      <c r="C417" s="11" t="inlineStr">
        <is>
          <t>12019630303</t>
        </is>
      </c>
      <c r="D417" s="11" t="inlineStr">
        <is>
          <t>1405/06/22</t>
        </is>
      </c>
      <c r="E417" s="13" t="n"/>
      <c r="F417" s="10" t="n">
        <v>11027</v>
      </c>
      <c r="G417" s="10" t="n">
        <v>1110232</v>
      </c>
      <c r="H417" s="11" t="inlineStr">
        <is>
          <t>Resistor 820,5%,1/4W</t>
        </is>
      </c>
      <c r="I417" s="11" t="inlineStr">
        <is>
          <t>عدد</t>
        </is>
      </c>
      <c r="J417" s="10" t="n">
        <v>5</v>
      </c>
      <c r="K417" s="10" t="n">
        <v>1</v>
      </c>
      <c r="L417" s="11" t="inlineStr">
        <is>
          <t>-</t>
        </is>
      </c>
      <c r="M417" s="13" t="n"/>
      <c r="N417" s="13" t="n"/>
      <c r="O417" s="10" t="n">
        <v>100</v>
      </c>
      <c r="P417" s="11" t="inlineStr">
        <is>
          <t>مصرف مستقیم</t>
        </is>
      </c>
      <c r="Q417" s="10">
        <f>SUMIFS('ورودی برنامه'!$D$4:$D$16,'ورودی برنامه'!$A$4:$A$16,A417,'ورودی برنامه'!$C$4:$C$16,C417)</f>
        <v>630</v>
      </c>
      <c r="R417" s="10">
        <f>SUMIFS('ورودی برنامه'!$E$4:$E$16,'ورودی برنامه'!$A$4:$A$16,A417,'ورودی برنامه'!$C$4:$C$16,C417)</f>
        <v>360</v>
      </c>
      <c r="S417" s="10">
        <f>ROUND(Q417*J417/K417*O417/100,10)</f>
        <v>3150</v>
      </c>
      <c r="T417" s="10">
        <f>ROUND(R417*J417/K417*O417/100,10)</f>
        <v>1800</v>
      </c>
      <c r="U417" s="10" t="n">
        <v>3150</v>
      </c>
      <c r="V417" s="10" t="n">
        <v>1800</v>
      </c>
    </row>
    <row r="418" ht="20" customHeight="1">
      <c r="A418" s="5" t="n">
        <v>1201963</v>
      </c>
      <c r="B418" s="6" t="inlineStr">
        <is>
          <t>جلوآمپر کنترل ماشینی شده ICN1-DENA-HPT-THT</t>
        </is>
      </c>
      <c r="C418" s="6" t="inlineStr">
        <is>
          <t>12019630303</t>
        </is>
      </c>
      <c r="D418" s="6" t="inlineStr">
        <is>
          <t>1405/06/22</t>
        </is>
      </c>
      <c r="E418" s="9" t="n"/>
      <c r="F418" s="5" t="n">
        <v>11516</v>
      </c>
      <c r="G418" s="5" t="n">
        <v>1110294</v>
      </c>
      <c r="H418" s="6" t="inlineStr">
        <is>
          <t>Resistor 2.2K,5%,1/4W.</t>
        </is>
      </c>
      <c r="I418" s="6" t="inlineStr">
        <is>
          <t>عدد</t>
        </is>
      </c>
      <c r="J418" s="5" t="n">
        <v>1</v>
      </c>
      <c r="K418" s="5" t="n">
        <v>1</v>
      </c>
      <c r="L418" s="6" t="inlineStr">
        <is>
          <t>17</t>
        </is>
      </c>
      <c r="M418" s="5" t="n">
        <v>1</v>
      </c>
      <c r="N418" s="5" t="n">
        <v>50</v>
      </c>
      <c r="O418" s="5">
        <f>N418</f>
        <v>50</v>
      </c>
      <c r="P418" s="6" t="inlineStr">
        <is>
          <t>سهم درصد استفاده BOM</t>
        </is>
      </c>
      <c r="Q418" s="5">
        <f>SUMIFS('ورودی برنامه'!$D$4:$D$16,'ورودی برنامه'!$A$4:$A$16,A418,'ورودی برنامه'!$C$4:$C$16,C418)</f>
        <v>630</v>
      </c>
      <c r="R418" s="5">
        <f>SUMIFS('ورودی برنامه'!$E$4:$E$16,'ورودی برنامه'!$A$4:$A$16,A418,'ورودی برنامه'!$C$4:$C$16,C418)</f>
        <v>360</v>
      </c>
      <c r="S418" s="5">
        <f>ROUND(Q418*J418/K418*O418/100,10)</f>
        <v>315</v>
      </c>
      <c r="T418" s="5">
        <f>ROUND(R418*J418/K418*O418/100,10)</f>
        <v>180</v>
      </c>
      <c r="U418" s="5" t="n">
        <v>630</v>
      </c>
      <c r="V418" s="5" t="n">
        <v>360</v>
      </c>
    </row>
    <row r="419" ht="20" customHeight="1">
      <c r="A419" s="10" t="n">
        <v>1201963</v>
      </c>
      <c r="B419" s="11" t="inlineStr">
        <is>
          <t>جلوآمپر کنترل ماشینی شده ICN1-DENA-HPT-THT</t>
        </is>
      </c>
      <c r="C419" s="11" t="inlineStr">
        <is>
          <t>12019630303</t>
        </is>
      </c>
      <c r="D419" s="11" t="inlineStr">
        <is>
          <t>1405/06/22</t>
        </is>
      </c>
      <c r="E419" s="13" t="n"/>
      <c r="F419" s="10" t="n">
        <v>12770</v>
      </c>
      <c r="G419" s="10" t="n">
        <v>1110600</v>
      </c>
      <c r="H419" s="11" t="inlineStr">
        <is>
          <t>Transistor BC817-40</t>
        </is>
      </c>
      <c r="I419" s="11" t="inlineStr">
        <is>
          <t>عدد</t>
        </is>
      </c>
      <c r="J419" s="10" t="n">
        <v>3</v>
      </c>
      <c r="K419" s="10" t="n">
        <v>1</v>
      </c>
      <c r="L419" s="11" t="inlineStr">
        <is>
          <t>-</t>
        </is>
      </c>
      <c r="M419" s="13" t="n"/>
      <c r="N419" s="13" t="n"/>
      <c r="O419" s="10" t="n">
        <v>100</v>
      </c>
      <c r="P419" s="11" t="inlineStr">
        <is>
          <t>مصرف مستقیم</t>
        </is>
      </c>
      <c r="Q419" s="10">
        <f>SUMIFS('ورودی برنامه'!$D$4:$D$16,'ورودی برنامه'!$A$4:$A$16,A419,'ورودی برنامه'!$C$4:$C$16,C419)</f>
        <v>630</v>
      </c>
      <c r="R419" s="10">
        <f>SUMIFS('ورودی برنامه'!$E$4:$E$16,'ورودی برنامه'!$A$4:$A$16,A419,'ورودی برنامه'!$C$4:$C$16,C419)</f>
        <v>360</v>
      </c>
      <c r="S419" s="10">
        <f>ROUND(Q419*J419/K419*O419/100,10)</f>
        <v>1890</v>
      </c>
      <c r="T419" s="10">
        <f>ROUND(R419*J419/K419*O419/100,10)</f>
        <v>1080</v>
      </c>
      <c r="U419" s="10" t="n">
        <v>1890</v>
      </c>
      <c r="V419" s="10" t="n">
        <v>1080</v>
      </c>
    </row>
    <row r="420" ht="20" customHeight="1">
      <c r="A420" s="5" t="n">
        <v>1201963</v>
      </c>
      <c r="B420" s="6" t="inlineStr">
        <is>
          <t>جلوآمپر کنترل ماشینی شده ICN1-DENA-HPT-THT</t>
        </is>
      </c>
      <c r="C420" s="6" t="inlineStr">
        <is>
          <t>12019630303</t>
        </is>
      </c>
      <c r="D420" s="6" t="inlineStr">
        <is>
          <t>1405/06/22</t>
        </is>
      </c>
      <c r="E420" s="9" t="n"/>
      <c r="F420" s="5" t="n">
        <v>12968</v>
      </c>
      <c r="G420" s="5" t="n">
        <v>1110604</v>
      </c>
      <c r="H420" s="6" t="inlineStr">
        <is>
          <t>Transistor BC807-40</t>
        </is>
      </c>
      <c r="I420" s="6" t="inlineStr">
        <is>
          <t>عدد</t>
        </is>
      </c>
      <c r="J420" s="5" t="n">
        <v>1</v>
      </c>
      <c r="K420" s="5" t="n">
        <v>1</v>
      </c>
      <c r="L420" s="6" t="inlineStr">
        <is>
          <t>-</t>
        </is>
      </c>
      <c r="M420" s="9" t="n"/>
      <c r="N420" s="9" t="n"/>
      <c r="O420" s="5" t="n">
        <v>100</v>
      </c>
      <c r="P420" s="6" t="inlineStr">
        <is>
          <t>مصرف مستقیم</t>
        </is>
      </c>
      <c r="Q420" s="5">
        <f>SUMIFS('ورودی برنامه'!$D$4:$D$16,'ورودی برنامه'!$A$4:$A$16,A420,'ورودی برنامه'!$C$4:$C$16,C420)</f>
        <v>630</v>
      </c>
      <c r="R420" s="5">
        <f>SUMIFS('ورودی برنامه'!$E$4:$E$16,'ورودی برنامه'!$A$4:$A$16,A420,'ورودی برنامه'!$C$4:$C$16,C420)</f>
        <v>360</v>
      </c>
      <c r="S420" s="5">
        <f>ROUND(Q420*J420/K420*O420/100,10)</f>
        <v>630</v>
      </c>
      <c r="T420" s="5">
        <f>ROUND(R420*J420/K420*O420/100,10)</f>
        <v>360</v>
      </c>
      <c r="U420" s="5" t="n">
        <v>630</v>
      </c>
      <c r="V420" s="5" t="n">
        <v>360</v>
      </c>
    </row>
    <row r="421" ht="20" customHeight="1">
      <c r="A421" s="10" t="n">
        <v>1201963</v>
      </c>
      <c r="B421" s="11" t="inlineStr">
        <is>
          <t>جلوآمپر کنترل ماشینی شده ICN1-DENA-HPT-THT</t>
        </is>
      </c>
      <c r="C421" s="11" t="inlineStr">
        <is>
          <t>12019630303</t>
        </is>
      </c>
      <c r="D421" s="11" t="inlineStr">
        <is>
          <t>1405/06/22</t>
        </is>
      </c>
      <c r="E421" s="13" t="n"/>
      <c r="F421" s="10" t="n">
        <v>13200</v>
      </c>
      <c r="G421" s="10" t="n">
        <v>1110902</v>
      </c>
      <c r="H421" s="11" t="inlineStr">
        <is>
          <t>Diode 1N4004 SMT</t>
        </is>
      </c>
      <c r="I421" s="11" t="inlineStr">
        <is>
          <t>عدد</t>
        </is>
      </c>
      <c r="J421" s="10" t="n">
        <v>2</v>
      </c>
      <c r="K421" s="10" t="n">
        <v>1</v>
      </c>
      <c r="L421" s="11" t="inlineStr">
        <is>
          <t>2</t>
        </is>
      </c>
      <c r="M421" s="10" t="n">
        <v>2</v>
      </c>
      <c r="N421" s="10" t="n">
        <v>50</v>
      </c>
      <c r="O421" s="10">
        <f>N421</f>
        <v>50</v>
      </c>
      <c r="P421" s="11" t="inlineStr">
        <is>
          <t>سهم درصد استفاده BOM</t>
        </is>
      </c>
      <c r="Q421" s="10">
        <f>SUMIFS('ورودی برنامه'!$D$4:$D$16,'ورودی برنامه'!$A$4:$A$16,A421,'ورودی برنامه'!$C$4:$C$16,C421)</f>
        <v>630</v>
      </c>
      <c r="R421" s="10">
        <f>SUMIFS('ورودی برنامه'!$E$4:$E$16,'ورودی برنامه'!$A$4:$A$16,A421,'ورودی برنامه'!$C$4:$C$16,C421)</f>
        <v>360</v>
      </c>
      <c r="S421" s="10">
        <f>ROUND(Q421*J421/K421*O421/100,10)</f>
        <v>630</v>
      </c>
      <c r="T421" s="10">
        <f>ROUND(R421*J421/K421*O421/100,10)</f>
        <v>360</v>
      </c>
      <c r="U421" s="10" t="n">
        <v>0</v>
      </c>
      <c r="V421" s="10" t="n">
        <v>0</v>
      </c>
    </row>
    <row r="422" ht="20" customHeight="1">
      <c r="A422" s="5" t="n">
        <v>1201963</v>
      </c>
      <c r="B422" s="6" t="inlineStr">
        <is>
          <t>جلوآمپر کنترل ماشینی شده ICN1-DENA-HPT-THT</t>
        </is>
      </c>
      <c r="C422" s="6" t="inlineStr">
        <is>
          <t>12019630303</t>
        </is>
      </c>
      <c r="D422" s="6" t="inlineStr">
        <is>
          <t>1405/06/22</t>
        </is>
      </c>
      <c r="E422" s="9" t="n"/>
      <c r="F422" s="5" t="n">
        <v>14744</v>
      </c>
      <c r="G422" s="5" t="n">
        <v>1110242</v>
      </c>
      <c r="H422" s="6" t="inlineStr">
        <is>
          <t>Resistor 680,1%,1/4W.</t>
        </is>
      </c>
      <c r="I422" s="6" t="inlineStr">
        <is>
          <t>عدد</t>
        </is>
      </c>
      <c r="J422" s="5" t="n">
        <v>18</v>
      </c>
      <c r="K422" s="5" t="n">
        <v>1</v>
      </c>
      <c r="L422" s="6" t="inlineStr">
        <is>
          <t>7</t>
        </is>
      </c>
      <c r="M422" s="5" t="n">
        <v>2</v>
      </c>
      <c r="N422" s="5" t="n">
        <v>50</v>
      </c>
      <c r="O422" s="5">
        <f>N422</f>
        <v>50</v>
      </c>
      <c r="P422" s="6" t="inlineStr">
        <is>
          <t>سهم درصد استفاده BOM</t>
        </is>
      </c>
      <c r="Q422" s="5">
        <f>SUMIFS('ورودی برنامه'!$D$4:$D$16,'ورودی برنامه'!$A$4:$A$16,A422,'ورودی برنامه'!$C$4:$C$16,C422)</f>
        <v>630</v>
      </c>
      <c r="R422" s="5">
        <f>SUMIFS('ورودی برنامه'!$E$4:$E$16,'ورودی برنامه'!$A$4:$A$16,A422,'ورودی برنامه'!$C$4:$C$16,C422)</f>
        <v>360</v>
      </c>
      <c r="S422" s="5">
        <f>ROUND(Q422*J422/K422*O422/100,10)</f>
        <v>5670</v>
      </c>
      <c r="T422" s="5">
        <f>ROUND(R422*J422/K422*O422/100,10)</f>
        <v>3240</v>
      </c>
      <c r="U422" s="5" t="n">
        <v>0</v>
      </c>
      <c r="V422" s="5" t="n">
        <v>0</v>
      </c>
    </row>
    <row r="423" ht="20" customHeight="1">
      <c r="A423" s="10" t="n">
        <v>1201963</v>
      </c>
      <c r="B423" s="11" t="inlineStr">
        <is>
          <t>جلوآمپر کنترل ماشینی شده ICN1-DENA-HPT-THT</t>
        </is>
      </c>
      <c r="C423" s="11" t="inlineStr">
        <is>
          <t>12019630303</t>
        </is>
      </c>
      <c r="D423" s="11" t="inlineStr">
        <is>
          <t>1405/06/22</t>
        </is>
      </c>
      <c r="E423" s="13" t="n"/>
      <c r="F423" s="10" t="n">
        <v>14848</v>
      </c>
      <c r="G423" s="10" t="n">
        <v>1110245</v>
      </c>
      <c r="H423" s="11" t="inlineStr">
        <is>
          <t>Resistor 470,1%,1/4w</t>
        </is>
      </c>
      <c r="I423" s="11" t="inlineStr">
        <is>
          <t>عدد</t>
        </is>
      </c>
      <c r="J423" s="10" t="n">
        <v>2</v>
      </c>
      <c r="K423" s="10" t="n">
        <v>1</v>
      </c>
      <c r="L423" s="11" t="inlineStr">
        <is>
          <t>16</t>
        </is>
      </c>
      <c r="M423" s="10" t="n">
        <v>2</v>
      </c>
      <c r="N423" s="10" t="n">
        <v>50</v>
      </c>
      <c r="O423" s="10">
        <f>N423</f>
        <v>50</v>
      </c>
      <c r="P423" s="11" t="inlineStr">
        <is>
          <t>سهم درصد استفاده BOM</t>
        </is>
      </c>
      <c r="Q423" s="10">
        <f>SUMIFS('ورودی برنامه'!$D$4:$D$16,'ورودی برنامه'!$A$4:$A$16,A423,'ورودی برنامه'!$C$4:$C$16,C423)</f>
        <v>630</v>
      </c>
      <c r="R423" s="10">
        <f>SUMIFS('ورودی برنامه'!$E$4:$E$16,'ورودی برنامه'!$A$4:$A$16,A423,'ورودی برنامه'!$C$4:$C$16,C423)</f>
        <v>360</v>
      </c>
      <c r="S423" s="10">
        <f>ROUND(Q423*J423/K423*O423/100,10)</f>
        <v>630</v>
      </c>
      <c r="T423" s="10">
        <f>ROUND(R423*J423/K423*O423/100,10)</f>
        <v>360</v>
      </c>
      <c r="U423" s="10" t="n">
        <v>0</v>
      </c>
      <c r="V423" s="10" t="n">
        <v>0</v>
      </c>
    </row>
    <row r="424" ht="20" customHeight="1">
      <c r="A424" s="5" t="n">
        <v>1201963</v>
      </c>
      <c r="B424" s="6" t="inlineStr">
        <is>
          <t>جلوآمپر کنترل ماشینی شده ICN1-DENA-HPT-THT</t>
        </is>
      </c>
      <c r="C424" s="6" t="inlineStr">
        <is>
          <t>12019630303</t>
        </is>
      </c>
      <c r="D424" s="6" t="inlineStr">
        <is>
          <t>1405/06/22</t>
        </is>
      </c>
      <c r="E424" s="9" t="n"/>
      <c r="F424" s="5" t="n">
        <v>15101</v>
      </c>
      <c r="G424" s="5" t="n">
        <v>1110247</v>
      </c>
      <c r="H424" s="6" t="inlineStr">
        <is>
          <t>Resistor 560,1%,1/4w</t>
        </is>
      </c>
      <c r="I424" s="6" t="inlineStr">
        <is>
          <t>عدد</t>
        </is>
      </c>
      <c r="J424" s="5" t="n">
        <v>5</v>
      </c>
      <c r="K424" s="5" t="n">
        <v>1</v>
      </c>
      <c r="L424" s="6" t="inlineStr">
        <is>
          <t>15</t>
        </is>
      </c>
      <c r="M424" s="5" t="n">
        <v>2</v>
      </c>
      <c r="N424" s="5" t="n">
        <v>50</v>
      </c>
      <c r="O424" s="5">
        <f>N424</f>
        <v>50</v>
      </c>
      <c r="P424" s="6" t="inlineStr">
        <is>
          <t>سهم درصد استفاده BOM</t>
        </is>
      </c>
      <c r="Q424" s="5">
        <f>SUMIFS('ورودی برنامه'!$D$4:$D$16,'ورودی برنامه'!$A$4:$A$16,A424,'ورودی برنامه'!$C$4:$C$16,C424)</f>
        <v>630</v>
      </c>
      <c r="R424" s="5">
        <f>SUMIFS('ورودی برنامه'!$E$4:$E$16,'ورودی برنامه'!$A$4:$A$16,A424,'ورودی برنامه'!$C$4:$C$16,C424)</f>
        <v>360</v>
      </c>
      <c r="S424" s="5">
        <f>ROUND(Q424*J424/K424*O424/100,10)</f>
        <v>1575</v>
      </c>
      <c r="T424" s="5">
        <f>ROUND(R424*J424/K424*O424/100,10)</f>
        <v>900</v>
      </c>
      <c r="U424" s="5" t="n">
        <v>0</v>
      </c>
      <c r="V424" s="5" t="n">
        <v>0</v>
      </c>
    </row>
    <row r="425" ht="20" customHeight="1">
      <c r="A425" s="10" t="n">
        <v>1201963</v>
      </c>
      <c r="B425" s="11" t="inlineStr">
        <is>
          <t>جلوآمپر کنترل ماشینی شده ICN1-DENA-HPT-THT</t>
        </is>
      </c>
      <c r="C425" s="11" t="inlineStr">
        <is>
          <t>12019630303</t>
        </is>
      </c>
      <c r="D425" s="11" t="inlineStr">
        <is>
          <t>1405/06/22</t>
        </is>
      </c>
      <c r="E425" s="13" t="n"/>
      <c r="F425" s="10" t="n">
        <v>15333</v>
      </c>
      <c r="G425" s="10" t="n">
        <v>1110248</v>
      </c>
      <c r="H425" s="11" t="inlineStr">
        <is>
          <t>Resistor 100,1%,1/4W</t>
        </is>
      </c>
      <c r="I425" s="11" t="inlineStr">
        <is>
          <t>عدد</t>
        </is>
      </c>
      <c r="J425" s="10" t="n">
        <v>1</v>
      </c>
      <c r="K425" s="10" t="n">
        <v>1</v>
      </c>
      <c r="L425" s="11" t="inlineStr">
        <is>
          <t>10</t>
        </is>
      </c>
      <c r="M425" s="10" t="n">
        <v>2</v>
      </c>
      <c r="N425" s="10" t="n">
        <v>50</v>
      </c>
      <c r="O425" s="10">
        <f>N425</f>
        <v>50</v>
      </c>
      <c r="P425" s="11" t="inlineStr">
        <is>
          <t>سهم درصد استفاده BOM</t>
        </is>
      </c>
      <c r="Q425" s="10">
        <f>SUMIFS('ورودی برنامه'!$D$4:$D$16,'ورودی برنامه'!$A$4:$A$16,A425,'ورودی برنامه'!$C$4:$C$16,C425)</f>
        <v>630</v>
      </c>
      <c r="R425" s="10">
        <f>SUMIFS('ورودی برنامه'!$E$4:$E$16,'ورودی برنامه'!$A$4:$A$16,A425,'ورودی برنامه'!$C$4:$C$16,C425)</f>
        <v>360</v>
      </c>
      <c r="S425" s="10">
        <f>ROUND(Q425*J425/K425*O425/100,10)</f>
        <v>315</v>
      </c>
      <c r="T425" s="10">
        <f>ROUND(R425*J425/K425*O425/100,10)</f>
        <v>180</v>
      </c>
      <c r="U425" s="10" t="n">
        <v>0</v>
      </c>
      <c r="V425" s="10" t="n">
        <v>0</v>
      </c>
    </row>
    <row r="426" ht="20" customHeight="1">
      <c r="A426" s="5" t="n">
        <v>1201963</v>
      </c>
      <c r="B426" s="6" t="inlineStr">
        <is>
          <t>جلوآمپر کنترل ماشینی شده ICN1-DENA-HPT-THT</t>
        </is>
      </c>
      <c r="C426" s="6" t="inlineStr">
        <is>
          <t>12019630303</t>
        </is>
      </c>
      <c r="D426" s="6" t="inlineStr">
        <is>
          <t>1405/06/22</t>
        </is>
      </c>
      <c r="E426" s="9" t="n"/>
      <c r="F426" s="5" t="n">
        <v>15338</v>
      </c>
      <c r="G426" s="5" t="n">
        <v>1110401</v>
      </c>
      <c r="H426" s="6" t="inlineStr">
        <is>
          <t>IC ULQ2003D1013TRY</t>
        </is>
      </c>
      <c r="I426" s="6" t="inlineStr">
        <is>
          <t>عدد</t>
        </is>
      </c>
      <c r="J426" s="5" t="n">
        <v>4</v>
      </c>
      <c r="K426" s="5" t="n">
        <v>1</v>
      </c>
      <c r="L426" s="6" t="inlineStr">
        <is>
          <t>-</t>
        </is>
      </c>
      <c r="M426" s="9" t="n"/>
      <c r="N426" s="9" t="n"/>
      <c r="O426" s="5" t="n">
        <v>100</v>
      </c>
      <c r="P426" s="6" t="inlineStr">
        <is>
          <t>مصرف مستقیم</t>
        </is>
      </c>
      <c r="Q426" s="5">
        <f>SUMIFS('ورودی برنامه'!$D$4:$D$16,'ورودی برنامه'!$A$4:$A$16,A426,'ورودی برنامه'!$C$4:$C$16,C426)</f>
        <v>630</v>
      </c>
      <c r="R426" s="5">
        <f>SUMIFS('ورودی برنامه'!$E$4:$E$16,'ورودی برنامه'!$A$4:$A$16,A426,'ورودی برنامه'!$C$4:$C$16,C426)</f>
        <v>360</v>
      </c>
      <c r="S426" s="5">
        <f>ROUND(Q426*J426/K426*O426/100,10)</f>
        <v>2520</v>
      </c>
      <c r="T426" s="5">
        <f>ROUND(R426*J426/K426*O426/100,10)</f>
        <v>1440</v>
      </c>
      <c r="U426" s="5" t="n">
        <v>2520</v>
      </c>
      <c r="V426" s="5" t="n">
        <v>1440</v>
      </c>
    </row>
    <row r="427" ht="20" customHeight="1">
      <c r="A427" s="10" t="n">
        <v>1201963</v>
      </c>
      <c r="B427" s="11" t="inlineStr">
        <is>
          <t>جلوآمپر کنترل ماشینی شده ICN1-DENA-HPT-THT</t>
        </is>
      </c>
      <c r="C427" s="11" t="inlineStr">
        <is>
          <t>12019630303</t>
        </is>
      </c>
      <c r="D427" s="11" t="inlineStr">
        <is>
          <t>1405/06/22</t>
        </is>
      </c>
      <c r="E427" s="13" t="n"/>
      <c r="F427" s="10" t="n">
        <v>15828</v>
      </c>
      <c r="G427" s="10" t="n">
        <v>1110337</v>
      </c>
      <c r="H427" s="11" t="inlineStr">
        <is>
          <t>Resistor 22K,5%,1/12W</t>
        </is>
      </c>
      <c r="I427" s="11" t="inlineStr">
        <is>
          <t>عدد</t>
        </is>
      </c>
      <c r="J427" s="10" t="n">
        <v>1</v>
      </c>
      <c r="K427" s="10" t="n">
        <v>1</v>
      </c>
      <c r="L427" s="11" t="inlineStr">
        <is>
          <t>19</t>
        </is>
      </c>
      <c r="M427" s="10" t="n">
        <v>1</v>
      </c>
      <c r="N427" s="10" t="n">
        <v>50</v>
      </c>
      <c r="O427" s="10">
        <f>N427</f>
        <v>50</v>
      </c>
      <c r="P427" s="11" t="inlineStr">
        <is>
          <t>سهم درصد استفاده BOM</t>
        </is>
      </c>
      <c r="Q427" s="10">
        <f>SUMIFS('ورودی برنامه'!$D$4:$D$16,'ورودی برنامه'!$A$4:$A$16,A427,'ورودی برنامه'!$C$4:$C$16,C427)</f>
        <v>630</v>
      </c>
      <c r="R427" s="10">
        <f>SUMIFS('ورودی برنامه'!$E$4:$E$16,'ورودی برنامه'!$A$4:$A$16,A427,'ورودی برنامه'!$C$4:$C$16,C427)</f>
        <v>360</v>
      </c>
      <c r="S427" s="10">
        <f>ROUND(Q427*J427/K427*O427/100,10)</f>
        <v>315</v>
      </c>
      <c r="T427" s="10">
        <f>ROUND(R427*J427/K427*O427/100,10)</f>
        <v>180</v>
      </c>
      <c r="U427" s="10" t="n">
        <v>630</v>
      </c>
      <c r="V427" s="10" t="n">
        <v>360</v>
      </c>
    </row>
    <row r="428" ht="20" customHeight="1">
      <c r="A428" s="5" t="n">
        <v>1201963</v>
      </c>
      <c r="B428" s="6" t="inlineStr">
        <is>
          <t>جلوآمپر کنترل ماشینی شده ICN1-DENA-HPT-THT</t>
        </is>
      </c>
      <c r="C428" s="6" t="inlineStr">
        <is>
          <t>12019630303</t>
        </is>
      </c>
      <c r="D428" s="6" t="inlineStr">
        <is>
          <t>1405/06/22</t>
        </is>
      </c>
      <c r="E428" s="9" t="n"/>
      <c r="F428" s="5" t="n">
        <v>15958</v>
      </c>
      <c r="G428" s="5" t="n">
        <v>1110861</v>
      </c>
      <c r="H428" s="6" t="inlineStr">
        <is>
          <t>LED White</t>
        </is>
      </c>
      <c r="I428" s="6" t="inlineStr">
        <is>
          <t>عدد</t>
        </is>
      </c>
      <c r="J428" s="5" t="n">
        <v>12</v>
      </c>
      <c r="K428" s="5" t="n">
        <v>1</v>
      </c>
      <c r="L428" s="6" t="inlineStr">
        <is>
          <t>3</t>
        </is>
      </c>
      <c r="M428" s="5" t="n">
        <v>1</v>
      </c>
      <c r="N428" s="5" t="n">
        <v>25</v>
      </c>
      <c r="O428" s="5">
        <f>N428</f>
        <v>25</v>
      </c>
      <c r="P428" s="6" t="inlineStr">
        <is>
          <t>سهم درصد استفاده BOM</t>
        </is>
      </c>
      <c r="Q428" s="5">
        <f>SUMIFS('ورودی برنامه'!$D$4:$D$16,'ورودی برنامه'!$A$4:$A$16,A428,'ورودی برنامه'!$C$4:$C$16,C428)</f>
        <v>630</v>
      </c>
      <c r="R428" s="5">
        <f>SUMIFS('ورودی برنامه'!$E$4:$E$16,'ورودی برنامه'!$A$4:$A$16,A428,'ورودی برنامه'!$C$4:$C$16,C428)</f>
        <v>360</v>
      </c>
      <c r="S428" s="5">
        <f>ROUND(Q428*J428/K428*O428/100,10)</f>
        <v>1890</v>
      </c>
      <c r="T428" s="5">
        <f>ROUND(R428*J428/K428*O428/100,10)</f>
        <v>1080</v>
      </c>
      <c r="U428" s="5" t="n">
        <v>7560</v>
      </c>
      <c r="V428" s="5" t="n">
        <v>4320</v>
      </c>
    </row>
    <row r="429" ht="20" customHeight="1">
      <c r="A429" s="10" t="n">
        <v>1201963</v>
      </c>
      <c r="B429" s="11" t="inlineStr">
        <is>
          <t>جلوآمپر کنترل ماشینی شده ICN1-DENA-HPT-THT</t>
        </is>
      </c>
      <c r="C429" s="11" t="inlineStr">
        <is>
          <t>12019630303</t>
        </is>
      </c>
      <c r="D429" s="11" t="inlineStr">
        <is>
          <t>1405/06/22</t>
        </is>
      </c>
      <c r="E429" s="13" t="n"/>
      <c r="F429" s="10" t="n">
        <v>17296</v>
      </c>
      <c r="G429" s="10" t="n">
        <v>1110630</v>
      </c>
      <c r="H429" s="11" t="inlineStr">
        <is>
          <t>ESD Protection</t>
        </is>
      </c>
      <c r="I429" s="11" t="inlineStr">
        <is>
          <t>عدد</t>
        </is>
      </c>
      <c r="J429" s="10" t="n">
        <v>1</v>
      </c>
      <c r="K429" s="10" t="n">
        <v>1</v>
      </c>
      <c r="L429" s="11" t="inlineStr">
        <is>
          <t>-</t>
        </is>
      </c>
      <c r="M429" s="13" t="n"/>
      <c r="N429" s="13" t="n"/>
      <c r="O429" s="10" t="n">
        <v>100</v>
      </c>
      <c r="P429" s="11" t="inlineStr">
        <is>
          <t>مصرف مستقیم</t>
        </is>
      </c>
      <c r="Q429" s="10">
        <f>SUMIFS('ورودی برنامه'!$D$4:$D$16,'ورودی برنامه'!$A$4:$A$16,A429,'ورودی برنامه'!$C$4:$C$16,C429)</f>
        <v>630</v>
      </c>
      <c r="R429" s="10">
        <f>SUMIFS('ورودی برنامه'!$E$4:$E$16,'ورودی برنامه'!$A$4:$A$16,A429,'ورودی برنامه'!$C$4:$C$16,C429)</f>
        <v>360</v>
      </c>
      <c r="S429" s="10">
        <f>ROUND(Q429*J429/K429*O429/100,10)</f>
        <v>630</v>
      </c>
      <c r="T429" s="10">
        <f>ROUND(R429*J429/K429*O429/100,10)</f>
        <v>360</v>
      </c>
      <c r="U429" s="10" t="n">
        <v>630</v>
      </c>
      <c r="V429" s="10" t="n">
        <v>360</v>
      </c>
    </row>
    <row r="430" ht="20" customHeight="1">
      <c r="A430" s="5" t="n">
        <v>1201963</v>
      </c>
      <c r="B430" s="6" t="inlineStr">
        <is>
          <t>جلوآمپر کنترل ماشینی شده ICN1-DENA-HPT-THT</t>
        </is>
      </c>
      <c r="C430" s="6" t="inlineStr">
        <is>
          <t>12019630303</t>
        </is>
      </c>
      <c r="D430" s="6" t="inlineStr">
        <is>
          <t>1405/06/22</t>
        </is>
      </c>
      <c r="E430" s="9" t="n"/>
      <c r="F430" s="5" t="n">
        <v>17304</v>
      </c>
      <c r="G430" s="5" t="n">
        <v>1110610</v>
      </c>
      <c r="H430" s="6" t="inlineStr">
        <is>
          <t>Transistor BCX56</t>
        </is>
      </c>
      <c r="I430" s="6" t="inlineStr">
        <is>
          <t>عدد</t>
        </is>
      </c>
      <c r="J430" s="5" t="n">
        <v>1</v>
      </c>
      <c r="K430" s="5" t="n">
        <v>1</v>
      </c>
      <c r="L430" s="6" t="inlineStr">
        <is>
          <t>-</t>
        </is>
      </c>
      <c r="M430" s="9" t="n"/>
      <c r="N430" s="9" t="n"/>
      <c r="O430" s="5" t="n">
        <v>100</v>
      </c>
      <c r="P430" s="6" t="inlineStr">
        <is>
          <t>مصرف مستقیم</t>
        </is>
      </c>
      <c r="Q430" s="5">
        <f>SUMIFS('ورودی برنامه'!$D$4:$D$16,'ورودی برنامه'!$A$4:$A$16,A430,'ورودی برنامه'!$C$4:$C$16,C430)</f>
        <v>630</v>
      </c>
      <c r="R430" s="5">
        <f>SUMIFS('ورودی برنامه'!$E$4:$E$16,'ورودی برنامه'!$A$4:$A$16,A430,'ورودی برنامه'!$C$4:$C$16,C430)</f>
        <v>360</v>
      </c>
      <c r="S430" s="5">
        <f>ROUND(Q430*J430/K430*O430/100,10)</f>
        <v>630</v>
      </c>
      <c r="T430" s="5">
        <f>ROUND(R430*J430/K430*O430/100,10)</f>
        <v>360</v>
      </c>
      <c r="U430" s="5" t="n">
        <v>630</v>
      </c>
      <c r="V430" s="5" t="n">
        <v>360</v>
      </c>
    </row>
    <row r="431" ht="20" customHeight="1">
      <c r="A431" s="10" t="n">
        <v>1201963</v>
      </c>
      <c r="B431" s="11" t="inlineStr">
        <is>
          <t>جلوآمپر کنترل ماشینی شده ICN1-DENA-HPT-THT</t>
        </is>
      </c>
      <c r="C431" s="11" t="inlineStr">
        <is>
          <t>12019630303</t>
        </is>
      </c>
      <c r="D431" s="11" t="inlineStr">
        <is>
          <t>1405/06/22</t>
        </is>
      </c>
      <c r="E431" s="13" t="n"/>
      <c r="F431" s="10" t="n">
        <v>17599</v>
      </c>
      <c r="G431" s="10" t="n">
        <v>1110456</v>
      </c>
      <c r="H431" s="11" t="inlineStr">
        <is>
          <t>IC CAN Transceiver TJA1055T</t>
        </is>
      </c>
      <c r="I431" s="11" t="inlineStr">
        <is>
          <t>عدد</t>
        </is>
      </c>
      <c r="J431" s="10" t="n">
        <v>1</v>
      </c>
      <c r="K431" s="10" t="n">
        <v>1</v>
      </c>
      <c r="L431" s="11" t="inlineStr">
        <is>
          <t>-</t>
        </is>
      </c>
      <c r="M431" s="13" t="n"/>
      <c r="N431" s="13" t="n"/>
      <c r="O431" s="10" t="n">
        <v>100</v>
      </c>
      <c r="P431" s="11" t="inlineStr">
        <is>
          <t>مصرف مستقیم</t>
        </is>
      </c>
      <c r="Q431" s="10">
        <f>SUMIFS('ورودی برنامه'!$D$4:$D$16,'ورودی برنامه'!$A$4:$A$16,A431,'ورودی برنامه'!$C$4:$C$16,C431)</f>
        <v>630</v>
      </c>
      <c r="R431" s="10">
        <f>SUMIFS('ورودی برنامه'!$E$4:$E$16,'ورودی برنامه'!$A$4:$A$16,A431,'ورودی برنامه'!$C$4:$C$16,C431)</f>
        <v>360</v>
      </c>
      <c r="S431" s="10">
        <f>ROUND(Q431*J431/K431*O431/100,10)</f>
        <v>630</v>
      </c>
      <c r="T431" s="10">
        <f>ROUND(R431*J431/K431*O431/100,10)</f>
        <v>360</v>
      </c>
      <c r="U431" s="10" t="n">
        <v>630</v>
      </c>
      <c r="V431" s="10" t="n">
        <v>360</v>
      </c>
    </row>
    <row r="432" ht="20" customHeight="1">
      <c r="A432" s="5" t="n">
        <v>1201963</v>
      </c>
      <c r="B432" s="6" t="inlineStr">
        <is>
          <t>جلوآمپر کنترل ماشینی شده ICN1-DENA-HPT-THT</t>
        </is>
      </c>
      <c r="C432" s="6" t="inlineStr">
        <is>
          <t>12019630303</t>
        </is>
      </c>
      <c r="D432" s="6" t="inlineStr">
        <is>
          <t>1405/06/22</t>
        </is>
      </c>
      <c r="E432" s="9" t="n"/>
      <c r="F432" s="5" t="n">
        <v>18111</v>
      </c>
      <c r="G432" s="5" t="n">
        <v>1110465</v>
      </c>
      <c r="H432" s="6" t="inlineStr">
        <is>
          <t>IC NCV4275ADT50RKG</t>
        </is>
      </c>
      <c r="I432" s="6" t="inlineStr">
        <is>
          <t>عدد</t>
        </is>
      </c>
      <c r="J432" s="5" t="n">
        <v>1</v>
      </c>
      <c r="K432" s="5" t="n">
        <v>1</v>
      </c>
      <c r="L432" s="6" t="inlineStr">
        <is>
          <t>18</t>
        </is>
      </c>
      <c r="M432" s="5" t="n">
        <v>2</v>
      </c>
      <c r="N432" s="5" t="n">
        <v>50</v>
      </c>
      <c r="O432" s="5">
        <f>N432</f>
        <v>50</v>
      </c>
      <c r="P432" s="6" t="inlineStr">
        <is>
          <t>سهم درصد استفاده BOM</t>
        </is>
      </c>
      <c r="Q432" s="5">
        <f>SUMIFS('ورودی برنامه'!$D$4:$D$16,'ورودی برنامه'!$A$4:$A$16,A432,'ورودی برنامه'!$C$4:$C$16,C432)</f>
        <v>630</v>
      </c>
      <c r="R432" s="5">
        <f>SUMIFS('ورودی برنامه'!$E$4:$E$16,'ورودی برنامه'!$A$4:$A$16,A432,'ورودی برنامه'!$C$4:$C$16,C432)</f>
        <v>360</v>
      </c>
      <c r="S432" s="5">
        <f>ROUND(Q432*J432/K432*O432/100,10)</f>
        <v>315</v>
      </c>
      <c r="T432" s="5">
        <f>ROUND(R432*J432/K432*O432/100,10)</f>
        <v>180</v>
      </c>
      <c r="U432" s="5" t="n">
        <v>0</v>
      </c>
      <c r="V432" s="5" t="n">
        <v>0</v>
      </c>
    </row>
    <row r="433" ht="20" customHeight="1">
      <c r="A433" s="10" t="n">
        <v>1201963</v>
      </c>
      <c r="B433" s="11" t="inlineStr">
        <is>
          <t>جلوآمپر کنترل ماشینی شده ICN1-DENA-HPT-THT</t>
        </is>
      </c>
      <c r="C433" s="11" t="inlineStr">
        <is>
          <t>12019630303</t>
        </is>
      </c>
      <c r="D433" s="11" t="inlineStr">
        <is>
          <t>1405/06/22</t>
        </is>
      </c>
      <c r="E433" s="13" t="n"/>
      <c r="F433" s="10" t="n">
        <v>18528</v>
      </c>
      <c r="G433" s="10" t="n">
        <v>1110913</v>
      </c>
      <c r="H433" s="11" t="inlineStr">
        <is>
          <t>Diode BAV99LT1</t>
        </is>
      </c>
      <c r="I433" s="11" t="inlineStr">
        <is>
          <t>عدد</t>
        </is>
      </c>
      <c r="J433" s="10" t="n">
        <v>6</v>
      </c>
      <c r="K433" s="10" t="n">
        <v>1</v>
      </c>
      <c r="L433" s="11" t="inlineStr">
        <is>
          <t>-</t>
        </is>
      </c>
      <c r="M433" s="13" t="n"/>
      <c r="N433" s="13" t="n"/>
      <c r="O433" s="10" t="n">
        <v>100</v>
      </c>
      <c r="P433" s="11" t="inlineStr">
        <is>
          <t>مصرف مستقیم</t>
        </is>
      </c>
      <c r="Q433" s="10">
        <f>SUMIFS('ورودی برنامه'!$D$4:$D$16,'ورودی برنامه'!$A$4:$A$16,A433,'ورودی برنامه'!$C$4:$C$16,C433)</f>
        <v>630</v>
      </c>
      <c r="R433" s="10">
        <f>SUMIFS('ورودی برنامه'!$E$4:$E$16,'ورودی برنامه'!$A$4:$A$16,A433,'ورودی برنامه'!$C$4:$C$16,C433)</f>
        <v>360</v>
      </c>
      <c r="S433" s="10">
        <f>ROUND(Q433*J433/K433*O433/100,10)</f>
        <v>3780</v>
      </c>
      <c r="T433" s="10">
        <f>ROUND(R433*J433/K433*O433/100,10)</f>
        <v>2160</v>
      </c>
      <c r="U433" s="10" t="n">
        <v>3780</v>
      </c>
      <c r="V433" s="10" t="n">
        <v>2160</v>
      </c>
    </row>
    <row r="434" ht="20" customHeight="1">
      <c r="A434" s="5" t="n">
        <v>1201963</v>
      </c>
      <c r="B434" s="6" t="inlineStr">
        <is>
          <t>جلوآمپر کنترل ماشینی شده ICN1-DENA-HPT-THT</t>
        </is>
      </c>
      <c r="C434" s="6" t="inlineStr">
        <is>
          <t>12019630303</t>
        </is>
      </c>
      <c r="D434" s="6" t="inlineStr">
        <is>
          <t>1405/06/22</t>
        </is>
      </c>
      <c r="E434" s="9" t="n"/>
      <c r="F434" s="5" t="n">
        <v>19039</v>
      </c>
      <c r="G434" s="5" t="n">
        <v>1111002</v>
      </c>
      <c r="H434" s="6" t="inlineStr">
        <is>
          <t>Regulator 5V LOW DROP VOLTAGE</t>
        </is>
      </c>
      <c r="I434" s="6" t="inlineStr">
        <is>
          <t>عدد</t>
        </is>
      </c>
      <c r="J434" s="5" t="n">
        <v>1</v>
      </c>
      <c r="K434" s="5" t="n">
        <v>1</v>
      </c>
      <c r="L434" s="6" t="inlineStr">
        <is>
          <t>18</t>
        </is>
      </c>
      <c r="M434" s="5" t="n">
        <v>1</v>
      </c>
      <c r="N434" s="5" t="n">
        <v>50</v>
      </c>
      <c r="O434" s="5">
        <f>N434</f>
        <v>50</v>
      </c>
      <c r="P434" s="6" t="inlineStr">
        <is>
          <t>سهم درصد استفاده BOM</t>
        </is>
      </c>
      <c r="Q434" s="5">
        <f>SUMIFS('ورودی برنامه'!$D$4:$D$16,'ورودی برنامه'!$A$4:$A$16,A434,'ورودی برنامه'!$C$4:$C$16,C434)</f>
        <v>630</v>
      </c>
      <c r="R434" s="5">
        <f>SUMIFS('ورودی برنامه'!$E$4:$E$16,'ورودی برنامه'!$A$4:$A$16,A434,'ورودی برنامه'!$C$4:$C$16,C434)</f>
        <v>360</v>
      </c>
      <c r="S434" s="5">
        <f>ROUND(Q434*J434/K434*O434/100,10)</f>
        <v>315</v>
      </c>
      <c r="T434" s="5">
        <f>ROUND(R434*J434/K434*O434/100,10)</f>
        <v>180</v>
      </c>
      <c r="U434" s="5" t="n">
        <v>630</v>
      </c>
      <c r="V434" s="5" t="n">
        <v>360</v>
      </c>
    </row>
    <row r="435" ht="20" customHeight="1">
      <c r="A435" s="10" t="n">
        <v>1201963</v>
      </c>
      <c r="B435" s="11" t="inlineStr">
        <is>
          <t>جلوآمپر کنترل ماشینی شده ICN1-DENA-HPT-THT</t>
        </is>
      </c>
      <c r="C435" s="11" t="inlineStr">
        <is>
          <t>12019630303</t>
        </is>
      </c>
      <c r="D435" s="11" t="inlineStr">
        <is>
          <t>1405/06/22</t>
        </is>
      </c>
      <c r="E435" s="13" t="n"/>
      <c r="F435" s="10" t="n">
        <v>19326</v>
      </c>
      <c r="G435" s="10" t="n">
        <v>1110951</v>
      </c>
      <c r="H435" s="11" t="inlineStr">
        <is>
          <t>Diode Supressor SMBJ28CA-TR</t>
        </is>
      </c>
      <c r="I435" s="11" t="inlineStr">
        <is>
          <t>عدد</t>
        </is>
      </c>
      <c r="J435" s="10" t="n">
        <v>1</v>
      </c>
      <c r="K435" s="10" t="n">
        <v>1</v>
      </c>
      <c r="L435" s="11" t="inlineStr">
        <is>
          <t>-</t>
        </is>
      </c>
      <c r="M435" s="13" t="n"/>
      <c r="N435" s="13" t="n"/>
      <c r="O435" s="10" t="n">
        <v>100</v>
      </c>
      <c r="P435" s="11" t="inlineStr">
        <is>
          <t>مصرف مستقیم</t>
        </is>
      </c>
      <c r="Q435" s="10">
        <f>SUMIFS('ورودی برنامه'!$D$4:$D$16,'ورودی برنامه'!$A$4:$A$16,A435,'ورودی برنامه'!$C$4:$C$16,C435)</f>
        <v>630</v>
      </c>
      <c r="R435" s="10">
        <f>SUMIFS('ورودی برنامه'!$E$4:$E$16,'ورودی برنامه'!$A$4:$A$16,A435,'ورودی برنامه'!$C$4:$C$16,C435)</f>
        <v>360</v>
      </c>
      <c r="S435" s="10">
        <f>ROUND(Q435*J435/K435*O435/100,10)</f>
        <v>630</v>
      </c>
      <c r="T435" s="10">
        <f>ROUND(R435*J435/K435*O435/100,10)</f>
        <v>360</v>
      </c>
      <c r="U435" s="10" t="n">
        <v>630</v>
      </c>
      <c r="V435" s="10" t="n">
        <v>360</v>
      </c>
    </row>
    <row r="436" ht="20" customHeight="1">
      <c r="A436" s="5" t="n">
        <v>1201963</v>
      </c>
      <c r="B436" s="6" t="inlineStr">
        <is>
          <t>جلوآمپر کنترل ماشینی شده ICN1-DENA-HPT-THT</t>
        </is>
      </c>
      <c r="C436" s="6" t="inlineStr">
        <is>
          <t>12019630303</t>
        </is>
      </c>
      <c r="D436" s="6" t="inlineStr">
        <is>
          <t>1405/06/22</t>
        </is>
      </c>
      <c r="E436" s="9" t="n"/>
      <c r="F436" s="5" t="n">
        <v>21727</v>
      </c>
      <c r="G436" s="5" t="n">
        <v>1110087</v>
      </c>
      <c r="H436" s="6" t="inlineStr">
        <is>
          <t>Capacitor 10P, RF Type,NPO,50V,20%</t>
        </is>
      </c>
      <c r="I436" s="6" t="inlineStr">
        <is>
          <t>عدد</t>
        </is>
      </c>
      <c r="J436" s="5" t="n">
        <v>2</v>
      </c>
      <c r="K436" s="5" t="n">
        <v>1</v>
      </c>
      <c r="L436" s="6" t="inlineStr">
        <is>
          <t>-</t>
        </is>
      </c>
      <c r="M436" s="9" t="n"/>
      <c r="N436" s="9" t="n"/>
      <c r="O436" s="5" t="n">
        <v>100</v>
      </c>
      <c r="P436" s="6" t="inlineStr">
        <is>
          <t>مصرف مستقیم</t>
        </is>
      </c>
      <c r="Q436" s="5">
        <f>SUMIFS('ورودی برنامه'!$D$4:$D$16,'ورودی برنامه'!$A$4:$A$16,A436,'ورودی برنامه'!$C$4:$C$16,C436)</f>
        <v>630</v>
      </c>
      <c r="R436" s="5">
        <f>SUMIFS('ورودی برنامه'!$E$4:$E$16,'ورودی برنامه'!$A$4:$A$16,A436,'ورودی برنامه'!$C$4:$C$16,C436)</f>
        <v>360</v>
      </c>
      <c r="S436" s="5">
        <f>ROUND(Q436*J436/K436*O436/100,10)</f>
        <v>1260</v>
      </c>
      <c r="T436" s="5">
        <f>ROUND(R436*J436/K436*O436/100,10)</f>
        <v>720</v>
      </c>
      <c r="U436" s="5" t="n">
        <v>1260</v>
      </c>
      <c r="V436" s="5" t="n">
        <v>720</v>
      </c>
    </row>
    <row r="437" ht="20" customHeight="1">
      <c r="A437" s="10" t="n">
        <v>1201963</v>
      </c>
      <c r="B437" s="11" t="inlineStr">
        <is>
          <t>جلوآمپر کنترل ماشینی شده ICN1-DENA-HPT-THT</t>
        </is>
      </c>
      <c r="C437" s="11" t="inlineStr">
        <is>
          <t>12019630303</t>
        </is>
      </c>
      <c r="D437" s="11" t="inlineStr">
        <is>
          <t>1405/06/22</t>
        </is>
      </c>
      <c r="E437" s="13" t="n"/>
      <c r="F437" s="10" t="n">
        <v>22031</v>
      </c>
      <c r="G437" s="10" t="n">
        <v>1111010</v>
      </c>
      <c r="H437" s="11" t="inlineStr">
        <is>
          <t>Crystal 8MHZ,10PPM,HC-49</t>
        </is>
      </c>
      <c r="I437" s="11" t="inlineStr">
        <is>
          <t>عدد</t>
        </is>
      </c>
      <c r="J437" s="10" t="n">
        <v>1</v>
      </c>
      <c r="K437" s="10" t="n">
        <v>1</v>
      </c>
      <c r="L437" s="11" t="inlineStr">
        <is>
          <t>-</t>
        </is>
      </c>
      <c r="M437" s="13" t="n"/>
      <c r="N437" s="13" t="n"/>
      <c r="O437" s="10" t="n">
        <v>100</v>
      </c>
      <c r="P437" s="11" t="inlineStr">
        <is>
          <t>مصرف مستقیم</t>
        </is>
      </c>
      <c r="Q437" s="10">
        <f>SUMIFS('ورودی برنامه'!$D$4:$D$16,'ورودی برنامه'!$A$4:$A$16,A437,'ورودی برنامه'!$C$4:$C$16,C437)</f>
        <v>630</v>
      </c>
      <c r="R437" s="10">
        <f>SUMIFS('ورودی برنامه'!$E$4:$E$16,'ورودی برنامه'!$A$4:$A$16,A437,'ورودی برنامه'!$C$4:$C$16,C437)</f>
        <v>360</v>
      </c>
      <c r="S437" s="10">
        <f>ROUND(Q437*J437/K437*O437/100,10)</f>
        <v>630</v>
      </c>
      <c r="T437" s="10">
        <f>ROUND(R437*J437/K437*O437/100,10)</f>
        <v>360</v>
      </c>
      <c r="U437" s="10" t="n">
        <v>630</v>
      </c>
      <c r="V437" s="10" t="n">
        <v>360</v>
      </c>
    </row>
    <row r="438" ht="20" customHeight="1">
      <c r="A438" s="5" t="n">
        <v>1201963</v>
      </c>
      <c r="B438" s="6" t="inlineStr">
        <is>
          <t>جلوآمپر کنترل ماشینی شده ICN1-DENA-HPT-THT</t>
        </is>
      </c>
      <c r="C438" s="6" t="inlineStr">
        <is>
          <t>12019630303</t>
        </is>
      </c>
      <c r="D438" s="6" t="inlineStr">
        <is>
          <t>1405/06/22</t>
        </is>
      </c>
      <c r="E438" s="9" t="n"/>
      <c r="F438" s="5" t="n">
        <v>22370</v>
      </c>
      <c r="G438" s="5" t="n">
        <v>1110375</v>
      </c>
      <c r="H438" s="6" t="inlineStr">
        <is>
          <t>Resistor 100,5%,1/4 W</t>
        </is>
      </c>
      <c r="I438" s="6" t="inlineStr">
        <is>
          <t>عدد</t>
        </is>
      </c>
      <c r="J438" s="5" t="n">
        <v>1</v>
      </c>
      <c r="K438" s="5" t="n">
        <v>1</v>
      </c>
      <c r="L438" s="6" t="inlineStr">
        <is>
          <t>10</t>
        </is>
      </c>
      <c r="M438" s="5" t="n">
        <v>1</v>
      </c>
      <c r="N438" s="5" t="n">
        <v>50</v>
      </c>
      <c r="O438" s="5">
        <f>N438</f>
        <v>50</v>
      </c>
      <c r="P438" s="6" t="inlineStr">
        <is>
          <t>سهم درصد استفاده BOM</t>
        </is>
      </c>
      <c r="Q438" s="5">
        <f>SUMIFS('ورودی برنامه'!$D$4:$D$16,'ورودی برنامه'!$A$4:$A$16,A438,'ورودی برنامه'!$C$4:$C$16,C438)</f>
        <v>630</v>
      </c>
      <c r="R438" s="5">
        <f>SUMIFS('ورودی برنامه'!$E$4:$E$16,'ورودی برنامه'!$A$4:$A$16,A438,'ورودی برنامه'!$C$4:$C$16,C438)</f>
        <v>360</v>
      </c>
      <c r="S438" s="5">
        <f>ROUND(Q438*J438/K438*O438/100,10)</f>
        <v>315</v>
      </c>
      <c r="T438" s="5">
        <f>ROUND(R438*J438/K438*O438/100,10)</f>
        <v>180</v>
      </c>
      <c r="U438" s="5" t="n">
        <v>630</v>
      </c>
      <c r="V438" s="5" t="n">
        <v>360</v>
      </c>
    </row>
    <row r="439" ht="20" customHeight="1">
      <c r="A439" s="10" t="n">
        <v>1201963</v>
      </c>
      <c r="B439" s="11" t="inlineStr">
        <is>
          <t>جلوآمپر کنترل ماشینی شده ICN1-DENA-HPT-THT</t>
        </is>
      </c>
      <c r="C439" s="11" t="inlineStr">
        <is>
          <t>12019630303</t>
        </is>
      </c>
      <c r="D439" s="11" t="inlineStr">
        <is>
          <t>1405/06/22</t>
        </is>
      </c>
      <c r="E439" s="13" t="n"/>
      <c r="F439" s="10" t="n">
        <v>22985</v>
      </c>
      <c r="G439" s="10" t="n">
        <v>1110476</v>
      </c>
      <c r="H439" s="11" t="inlineStr">
        <is>
          <t>IC Micro Controller RL78-D1A- R5F10DPJJFB</t>
        </is>
      </c>
      <c r="I439" s="11" t="inlineStr">
        <is>
          <t>عدد</t>
        </is>
      </c>
      <c r="J439" s="10" t="n">
        <v>1</v>
      </c>
      <c r="K439" s="10" t="n">
        <v>1</v>
      </c>
      <c r="L439" s="11" t="inlineStr">
        <is>
          <t>21</t>
        </is>
      </c>
      <c r="M439" s="10" t="n">
        <v>2</v>
      </c>
      <c r="N439" s="10" t="n">
        <v>50</v>
      </c>
      <c r="O439" s="10">
        <f>N439</f>
        <v>50</v>
      </c>
      <c r="P439" s="11" t="inlineStr">
        <is>
          <t>سهم درصد استفاده BOM</t>
        </is>
      </c>
      <c r="Q439" s="10">
        <f>SUMIFS('ورودی برنامه'!$D$4:$D$16,'ورودی برنامه'!$A$4:$A$16,A439,'ورودی برنامه'!$C$4:$C$16,C439)</f>
        <v>630</v>
      </c>
      <c r="R439" s="10">
        <f>SUMIFS('ورودی برنامه'!$E$4:$E$16,'ورودی برنامه'!$A$4:$A$16,A439,'ورودی برنامه'!$C$4:$C$16,C439)</f>
        <v>360</v>
      </c>
      <c r="S439" s="10">
        <f>ROUND(Q439*J439/K439*O439/100,10)</f>
        <v>315</v>
      </c>
      <c r="T439" s="10">
        <f>ROUND(R439*J439/K439*O439/100,10)</f>
        <v>180</v>
      </c>
      <c r="U439" s="10" t="n">
        <v>0</v>
      </c>
      <c r="V439" s="10" t="n">
        <v>0</v>
      </c>
    </row>
    <row r="440" ht="20" customHeight="1">
      <c r="A440" s="5" t="n">
        <v>1201963</v>
      </c>
      <c r="B440" s="6" t="inlineStr">
        <is>
          <t>جلوآمپر کنترل ماشینی شده ICN1-DENA-HPT-THT</t>
        </is>
      </c>
      <c r="C440" s="6" t="inlineStr">
        <is>
          <t>12019630303</t>
        </is>
      </c>
      <c r="D440" s="6" t="inlineStr">
        <is>
          <t>1405/06/22</t>
        </is>
      </c>
      <c r="E440" s="9" t="n"/>
      <c r="F440" s="5" t="n">
        <v>23741</v>
      </c>
      <c r="G440" s="5" t="n">
        <v>1110377</v>
      </c>
      <c r="H440" s="6" t="inlineStr">
        <is>
          <t>Resistor 1.5K, 1%, 1/10W</t>
        </is>
      </c>
      <c r="I440" s="6" t="inlineStr">
        <is>
          <t>عدد</t>
        </is>
      </c>
      <c r="J440" s="5" t="n">
        <v>4</v>
      </c>
      <c r="K440" s="5" t="n">
        <v>1</v>
      </c>
      <c r="L440" s="6" t="inlineStr">
        <is>
          <t>11</t>
        </is>
      </c>
      <c r="M440" s="5" t="n">
        <v>2</v>
      </c>
      <c r="N440" s="5" t="n">
        <v>50</v>
      </c>
      <c r="O440" s="5">
        <f>N440</f>
        <v>50</v>
      </c>
      <c r="P440" s="6" t="inlineStr">
        <is>
          <t>سهم درصد استفاده BOM</t>
        </is>
      </c>
      <c r="Q440" s="5">
        <f>SUMIFS('ورودی برنامه'!$D$4:$D$16,'ورودی برنامه'!$A$4:$A$16,A440,'ورودی برنامه'!$C$4:$C$16,C440)</f>
        <v>630</v>
      </c>
      <c r="R440" s="5">
        <f>SUMIFS('ورودی برنامه'!$E$4:$E$16,'ورودی برنامه'!$A$4:$A$16,A440,'ورودی برنامه'!$C$4:$C$16,C440)</f>
        <v>360</v>
      </c>
      <c r="S440" s="5">
        <f>ROUND(Q440*J440/K440*O440/100,10)</f>
        <v>1260</v>
      </c>
      <c r="T440" s="5">
        <f>ROUND(R440*J440/K440*O440/100,10)</f>
        <v>720</v>
      </c>
      <c r="U440" s="5" t="n">
        <v>0</v>
      </c>
      <c r="V440" s="5" t="n">
        <v>0</v>
      </c>
    </row>
    <row r="441" ht="20" customHeight="1">
      <c r="A441" s="10" t="n">
        <v>1201963</v>
      </c>
      <c r="B441" s="11" t="inlineStr">
        <is>
          <t>جلوآمپر کنترل ماشینی شده ICN1-DENA-HPT-THT</t>
        </is>
      </c>
      <c r="C441" s="11" t="inlineStr">
        <is>
          <t>12019630303</t>
        </is>
      </c>
      <c r="D441" s="11" t="inlineStr">
        <is>
          <t>1405/06/22</t>
        </is>
      </c>
      <c r="E441" s="13" t="n"/>
      <c r="F441" s="10" t="n">
        <v>24217</v>
      </c>
      <c r="G441" s="10" t="n">
        <v>1110095</v>
      </c>
      <c r="H441" s="11" t="inlineStr">
        <is>
          <t>Capacitor 100nF,X7R,50V,10%</t>
        </is>
      </c>
      <c r="I441" s="11" t="inlineStr">
        <is>
          <t>عدد</t>
        </is>
      </c>
      <c r="J441" s="10" t="n">
        <v>12</v>
      </c>
      <c r="K441" s="10" t="n">
        <v>1</v>
      </c>
      <c r="L441" s="11" t="inlineStr">
        <is>
          <t>-</t>
        </is>
      </c>
      <c r="M441" s="13" t="n"/>
      <c r="N441" s="13" t="n"/>
      <c r="O441" s="10" t="n">
        <v>100</v>
      </c>
      <c r="P441" s="11" t="inlineStr">
        <is>
          <t>مصرف مستقیم</t>
        </is>
      </c>
      <c r="Q441" s="10">
        <f>SUMIFS('ورودی برنامه'!$D$4:$D$16,'ورودی برنامه'!$A$4:$A$16,A441,'ورودی برنامه'!$C$4:$C$16,C441)</f>
        <v>630</v>
      </c>
      <c r="R441" s="10">
        <f>SUMIFS('ورودی برنامه'!$E$4:$E$16,'ورودی برنامه'!$A$4:$A$16,A441,'ورودی برنامه'!$C$4:$C$16,C441)</f>
        <v>360</v>
      </c>
      <c r="S441" s="10">
        <f>ROUND(Q441*J441/K441*O441/100,10)</f>
        <v>7560</v>
      </c>
      <c r="T441" s="10">
        <f>ROUND(R441*J441/K441*O441/100,10)</f>
        <v>4320</v>
      </c>
      <c r="U441" s="10" t="n">
        <v>7560</v>
      </c>
      <c r="V441" s="10" t="n">
        <v>4320</v>
      </c>
    </row>
    <row r="442" ht="20" customHeight="1">
      <c r="A442" s="5" t="n">
        <v>1201963</v>
      </c>
      <c r="B442" s="6" t="inlineStr">
        <is>
          <t>جلوآمپر کنترل ماشینی شده ICN1-DENA-HPT-THT</t>
        </is>
      </c>
      <c r="C442" s="6" t="inlineStr">
        <is>
          <t>12019630303</t>
        </is>
      </c>
      <c r="D442" s="6" t="inlineStr">
        <is>
          <t>1405/06/22</t>
        </is>
      </c>
      <c r="E442" s="9" t="n"/>
      <c r="F442" s="5" t="n">
        <v>25347</v>
      </c>
      <c r="G442" s="5" t="n">
        <v>1110105</v>
      </c>
      <c r="H442" s="6" t="inlineStr">
        <is>
          <t>Electrolit Capacitor 100uF,16V,20% 105</t>
        </is>
      </c>
      <c r="I442" s="6" t="inlineStr">
        <is>
          <t>عدد</t>
        </is>
      </c>
      <c r="J442" s="5" t="n">
        <v>1</v>
      </c>
      <c r="K442" s="5" t="n">
        <v>1</v>
      </c>
      <c r="L442" s="6" t="inlineStr">
        <is>
          <t>-</t>
        </is>
      </c>
      <c r="M442" s="9" t="n"/>
      <c r="N442" s="9" t="n"/>
      <c r="O442" s="5" t="n">
        <v>100</v>
      </c>
      <c r="P442" s="6" t="inlineStr">
        <is>
          <t>مصرف مستقیم</t>
        </is>
      </c>
      <c r="Q442" s="5">
        <f>SUMIFS('ورودی برنامه'!$D$4:$D$16,'ورودی برنامه'!$A$4:$A$16,A442,'ورودی برنامه'!$C$4:$C$16,C442)</f>
        <v>630</v>
      </c>
      <c r="R442" s="5">
        <f>SUMIFS('ورودی برنامه'!$E$4:$E$16,'ورودی برنامه'!$A$4:$A$16,A442,'ورودی برنامه'!$C$4:$C$16,C442)</f>
        <v>360</v>
      </c>
      <c r="S442" s="5">
        <f>ROUND(Q442*J442/K442*O442/100,10)</f>
        <v>630</v>
      </c>
      <c r="T442" s="5">
        <f>ROUND(R442*J442/K442*O442/100,10)</f>
        <v>360</v>
      </c>
      <c r="U442" s="5" t="n">
        <v>630</v>
      </c>
      <c r="V442" s="5" t="n">
        <v>360</v>
      </c>
    </row>
    <row r="443" ht="20" customHeight="1">
      <c r="A443" s="10" t="n">
        <v>1201963</v>
      </c>
      <c r="B443" s="11" t="inlineStr">
        <is>
          <t>جلوآمپر کنترل ماشینی شده ICN1-DENA-HPT-THT</t>
        </is>
      </c>
      <c r="C443" s="11" t="inlineStr">
        <is>
          <t>12019630303</t>
        </is>
      </c>
      <c r="D443" s="11" t="inlineStr">
        <is>
          <t>1405/06/22</t>
        </is>
      </c>
      <c r="E443" s="13" t="n"/>
      <c r="F443" s="10" t="n">
        <v>26579</v>
      </c>
      <c r="G443" s="10" t="n">
        <v>1110098</v>
      </c>
      <c r="H443" s="11" t="inlineStr">
        <is>
          <t>Capacitor 330uF,35V,20%,105C,D&lt;8,L&lt;20</t>
        </is>
      </c>
      <c r="I443" s="11" t="inlineStr">
        <is>
          <t>عدد</t>
        </is>
      </c>
      <c r="J443" s="10" t="n">
        <v>1</v>
      </c>
      <c r="K443" s="10" t="n">
        <v>1</v>
      </c>
      <c r="L443" s="11" t="inlineStr">
        <is>
          <t>-</t>
        </is>
      </c>
      <c r="M443" s="13" t="n"/>
      <c r="N443" s="13" t="n"/>
      <c r="O443" s="10" t="n">
        <v>100</v>
      </c>
      <c r="P443" s="11" t="inlineStr">
        <is>
          <t>مصرف مستقیم</t>
        </is>
      </c>
      <c r="Q443" s="10">
        <f>SUMIFS('ورودی برنامه'!$D$4:$D$16,'ورودی برنامه'!$A$4:$A$16,A443,'ورودی برنامه'!$C$4:$C$16,C443)</f>
        <v>630</v>
      </c>
      <c r="R443" s="10">
        <f>SUMIFS('ورودی برنامه'!$E$4:$E$16,'ورودی برنامه'!$A$4:$A$16,A443,'ورودی برنامه'!$C$4:$C$16,C443)</f>
        <v>360</v>
      </c>
      <c r="S443" s="10">
        <f>ROUND(Q443*J443/K443*O443/100,10)</f>
        <v>630</v>
      </c>
      <c r="T443" s="10">
        <f>ROUND(R443*J443/K443*O443/100,10)</f>
        <v>360</v>
      </c>
      <c r="U443" s="10" t="n">
        <v>630</v>
      </c>
      <c r="V443" s="10" t="n">
        <v>360</v>
      </c>
    </row>
    <row r="444" ht="20" customHeight="1">
      <c r="A444" s="5" t="n">
        <v>1201963</v>
      </c>
      <c r="B444" s="6" t="inlineStr">
        <is>
          <t>جلوآمپر کنترل ماشینی شده ICN1-DENA-HPT-THT</t>
        </is>
      </c>
      <c r="C444" s="6" t="inlineStr">
        <is>
          <t>12019630303</t>
        </is>
      </c>
      <c r="D444" s="6" t="inlineStr">
        <is>
          <t>1405/06/22</t>
        </is>
      </c>
      <c r="E444" s="9" t="n"/>
      <c r="F444" s="5" t="n">
        <v>26650</v>
      </c>
      <c r="G444" s="5" t="n">
        <v>1110396</v>
      </c>
      <c r="H444" s="6" t="inlineStr">
        <is>
          <t>Resistor 3.3k,1%,1/4w</t>
        </is>
      </c>
      <c r="I444" s="6" t="inlineStr">
        <is>
          <t>عدد</t>
        </is>
      </c>
      <c r="J444" s="5" t="n">
        <v>6</v>
      </c>
      <c r="K444" s="5" t="n">
        <v>1</v>
      </c>
      <c r="L444" s="6" t="inlineStr">
        <is>
          <t>8</t>
        </is>
      </c>
      <c r="M444" s="5" t="n">
        <v>2</v>
      </c>
      <c r="N444" s="5" t="n">
        <v>50</v>
      </c>
      <c r="O444" s="5">
        <f>N444</f>
        <v>50</v>
      </c>
      <c r="P444" s="6" t="inlineStr">
        <is>
          <t>سهم درصد استفاده BOM</t>
        </is>
      </c>
      <c r="Q444" s="5">
        <f>SUMIFS('ورودی برنامه'!$D$4:$D$16,'ورودی برنامه'!$A$4:$A$16,A444,'ورودی برنامه'!$C$4:$C$16,C444)</f>
        <v>630</v>
      </c>
      <c r="R444" s="5">
        <f>SUMIFS('ورودی برنامه'!$E$4:$E$16,'ورودی برنامه'!$A$4:$A$16,A444,'ورودی برنامه'!$C$4:$C$16,C444)</f>
        <v>360</v>
      </c>
      <c r="S444" s="5">
        <f>ROUND(Q444*J444/K444*O444/100,10)</f>
        <v>1890</v>
      </c>
      <c r="T444" s="5">
        <f>ROUND(R444*J444/K444*O444/100,10)</f>
        <v>1080</v>
      </c>
      <c r="U444" s="5" t="n">
        <v>0</v>
      </c>
      <c r="V444" s="5" t="n">
        <v>0</v>
      </c>
    </row>
    <row r="445" ht="20" customHeight="1">
      <c r="A445" s="10" t="n">
        <v>1201963</v>
      </c>
      <c r="B445" s="11" t="inlineStr">
        <is>
          <t>جلوآمپر کنترل ماشینی شده ICN1-DENA-HPT-THT</t>
        </is>
      </c>
      <c r="C445" s="11" t="inlineStr">
        <is>
          <t>12019630303</t>
        </is>
      </c>
      <c r="D445" s="11" t="inlineStr">
        <is>
          <t>1405/06/22</t>
        </is>
      </c>
      <c r="E445" s="13" t="n"/>
      <c r="F445" s="10" t="n">
        <v>26845</v>
      </c>
      <c r="G445" s="10" t="n">
        <v>1110397</v>
      </c>
      <c r="H445" s="11" t="inlineStr">
        <is>
          <t>Resistor 470,5%,1/12W</t>
        </is>
      </c>
      <c r="I445" s="11" t="inlineStr">
        <is>
          <t>عدد</t>
        </is>
      </c>
      <c r="J445" s="10" t="n">
        <v>1</v>
      </c>
      <c r="K445" s="10" t="n">
        <v>1</v>
      </c>
      <c r="L445" s="11" t="inlineStr">
        <is>
          <t>-</t>
        </is>
      </c>
      <c r="M445" s="13" t="n"/>
      <c r="N445" s="13" t="n"/>
      <c r="O445" s="10" t="n">
        <v>100</v>
      </c>
      <c r="P445" s="11" t="inlineStr">
        <is>
          <t>مصرف مستقیم</t>
        </is>
      </c>
      <c r="Q445" s="10">
        <f>SUMIFS('ورودی برنامه'!$D$4:$D$16,'ورودی برنامه'!$A$4:$A$16,A445,'ورودی برنامه'!$C$4:$C$16,C445)</f>
        <v>630</v>
      </c>
      <c r="R445" s="10">
        <f>SUMIFS('ورودی برنامه'!$E$4:$E$16,'ورودی برنامه'!$A$4:$A$16,A445,'ورودی برنامه'!$C$4:$C$16,C445)</f>
        <v>360</v>
      </c>
      <c r="S445" s="10">
        <f>ROUND(Q445*J445/K445*O445/100,10)</f>
        <v>630</v>
      </c>
      <c r="T445" s="10">
        <f>ROUND(R445*J445/K445*O445/100,10)</f>
        <v>360</v>
      </c>
      <c r="U445" s="10" t="n">
        <v>630</v>
      </c>
      <c r="V445" s="10" t="n">
        <v>360</v>
      </c>
    </row>
    <row r="446" ht="20" customHeight="1">
      <c r="A446" s="5" t="n">
        <v>1201963</v>
      </c>
      <c r="B446" s="6" t="inlineStr">
        <is>
          <t>جلوآمپر کنترل ماشینی شده ICN1-DENA-HPT-THT</t>
        </is>
      </c>
      <c r="C446" s="6" t="inlineStr">
        <is>
          <t>12019630303</t>
        </is>
      </c>
      <c r="D446" s="6" t="inlineStr">
        <is>
          <t>1405/06/22</t>
        </is>
      </c>
      <c r="E446" s="9" t="n"/>
      <c r="F446" s="5" t="n">
        <v>27800</v>
      </c>
      <c r="G446" s="5" t="n">
        <v>1110183</v>
      </c>
      <c r="H446" s="6" t="inlineStr">
        <is>
          <t>Resistor 10K,5%,1/10W 0603</t>
        </is>
      </c>
      <c r="I446" s="6" t="inlineStr">
        <is>
          <t>عدد</t>
        </is>
      </c>
      <c r="J446" s="5" t="n">
        <v>13</v>
      </c>
      <c r="K446" s="5" t="n">
        <v>1</v>
      </c>
      <c r="L446" s="6" t="inlineStr">
        <is>
          <t>14</t>
        </is>
      </c>
      <c r="M446" s="5" t="n">
        <v>1</v>
      </c>
      <c r="N446" s="5" t="n">
        <v>50</v>
      </c>
      <c r="O446" s="5">
        <f>N446</f>
        <v>50</v>
      </c>
      <c r="P446" s="6" t="inlineStr">
        <is>
          <t>سهم درصد استفاده BOM</t>
        </is>
      </c>
      <c r="Q446" s="5">
        <f>SUMIFS('ورودی برنامه'!$D$4:$D$16,'ورودی برنامه'!$A$4:$A$16,A446,'ورودی برنامه'!$C$4:$C$16,C446)</f>
        <v>630</v>
      </c>
      <c r="R446" s="5">
        <f>SUMIFS('ورودی برنامه'!$E$4:$E$16,'ورودی برنامه'!$A$4:$A$16,A446,'ورودی برنامه'!$C$4:$C$16,C446)</f>
        <v>360</v>
      </c>
      <c r="S446" s="5">
        <f>ROUND(Q446*J446/K446*O446/100,10)</f>
        <v>4095</v>
      </c>
      <c r="T446" s="5">
        <f>ROUND(R446*J446/K446*O446/100,10)</f>
        <v>2340</v>
      </c>
      <c r="U446" s="5" t="n">
        <v>8190</v>
      </c>
      <c r="V446" s="5" t="n">
        <v>4680</v>
      </c>
    </row>
    <row r="447" ht="20" customHeight="1">
      <c r="A447" s="10" t="n">
        <v>1201963</v>
      </c>
      <c r="B447" s="11" t="inlineStr">
        <is>
          <t>جلوآمپر کنترل ماشینی شده ICN1-DENA-HPT-THT</t>
        </is>
      </c>
      <c r="C447" s="11" t="inlineStr">
        <is>
          <t>12019630303</t>
        </is>
      </c>
      <c r="D447" s="11" t="inlineStr">
        <is>
          <t>1405/06/22</t>
        </is>
      </c>
      <c r="E447" s="13" t="n"/>
      <c r="F447" s="10" t="n">
        <v>27820</v>
      </c>
      <c r="G447" s="10" t="n">
        <v>1110186</v>
      </c>
      <c r="H447" s="11" t="inlineStr">
        <is>
          <t>Resistor 47K,5%,1/10w</t>
        </is>
      </c>
      <c r="I447" s="11" t="inlineStr">
        <is>
          <t>عدد</t>
        </is>
      </c>
      <c r="J447" s="10" t="n">
        <v>3</v>
      </c>
      <c r="K447" s="10" t="n">
        <v>1</v>
      </c>
      <c r="L447" s="11" t="inlineStr">
        <is>
          <t>12</t>
        </is>
      </c>
      <c r="M447" s="10" t="n">
        <v>1</v>
      </c>
      <c r="N447" s="10" t="n">
        <v>50</v>
      </c>
      <c r="O447" s="10">
        <f>N447</f>
        <v>50</v>
      </c>
      <c r="P447" s="11" t="inlineStr">
        <is>
          <t>سهم درصد استفاده BOM</t>
        </is>
      </c>
      <c r="Q447" s="10">
        <f>SUMIFS('ورودی برنامه'!$D$4:$D$16,'ورودی برنامه'!$A$4:$A$16,A447,'ورودی برنامه'!$C$4:$C$16,C447)</f>
        <v>630</v>
      </c>
      <c r="R447" s="10">
        <f>SUMIFS('ورودی برنامه'!$E$4:$E$16,'ورودی برنامه'!$A$4:$A$16,A447,'ورودی برنامه'!$C$4:$C$16,C447)</f>
        <v>360</v>
      </c>
      <c r="S447" s="10">
        <f>ROUND(Q447*J447/K447*O447/100,10)</f>
        <v>945</v>
      </c>
      <c r="T447" s="10">
        <f>ROUND(R447*J447/K447*O447/100,10)</f>
        <v>540</v>
      </c>
      <c r="U447" s="10" t="n">
        <v>1890</v>
      </c>
      <c r="V447" s="10" t="n">
        <v>1080</v>
      </c>
    </row>
    <row r="448" ht="20" customHeight="1">
      <c r="A448" s="5" t="n">
        <v>1201963</v>
      </c>
      <c r="B448" s="6" t="inlineStr">
        <is>
          <t>جلوآمپر کنترل ماشینی شده ICN1-DENA-HPT-THT</t>
        </is>
      </c>
      <c r="C448" s="6" t="inlineStr">
        <is>
          <t>12019630303</t>
        </is>
      </c>
      <c r="D448" s="6" t="inlineStr">
        <is>
          <t>1405/06/22</t>
        </is>
      </c>
      <c r="E448" s="9" t="n"/>
      <c r="F448" s="5" t="n">
        <v>28187</v>
      </c>
      <c r="G448" s="5" t="n">
        <v>1110488</v>
      </c>
      <c r="H448" s="6" t="inlineStr">
        <is>
          <t>IC Micro controller RL78 R5F10TPJJFB</t>
        </is>
      </c>
      <c r="I448" s="6" t="inlineStr">
        <is>
          <t>عدد</t>
        </is>
      </c>
      <c r="J448" s="5" t="n">
        <v>1</v>
      </c>
      <c r="K448" s="5" t="n">
        <v>1</v>
      </c>
      <c r="L448" s="6" t="inlineStr">
        <is>
          <t>21</t>
        </is>
      </c>
      <c r="M448" s="5" t="n">
        <v>1</v>
      </c>
      <c r="N448" s="5" t="n">
        <v>50</v>
      </c>
      <c r="O448" s="5">
        <f>N448</f>
        <v>50</v>
      </c>
      <c r="P448" s="6" t="inlineStr">
        <is>
          <t>سهم درصد استفاده BOM</t>
        </is>
      </c>
      <c r="Q448" s="5">
        <f>SUMIFS('ورودی برنامه'!$D$4:$D$16,'ورودی برنامه'!$A$4:$A$16,A448,'ورودی برنامه'!$C$4:$C$16,C448)</f>
        <v>630</v>
      </c>
      <c r="R448" s="5">
        <f>SUMIFS('ورودی برنامه'!$E$4:$E$16,'ورودی برنامه'!$A$4:$A$16,A448,'ورودی برنامه'!$C$4:$C$16,C448)</f>
        <v>360</v>
      </c>
      <c r="S448" s="5">
        <f>ROUND(Q448*J448/K448*O448/100,10)</f>
        <v>315</v>
      </c>
      <c r="T448" s="5">
        <f>ROUND(R448*J448/K448*O448/100,10)</f>
        <v>180</v>
      </c>
      <c r="U448" s="5" t="n">
        <v>630</v>
      </c>
      <c r="V448" s="5" t="n">
        <v>360</v>
      </c>
    </row>
    <row r="449" ht="20" customHeight="1">
      <c r="A449" s="10" t="n">
        <v>1201963</v>
      </c>
      <c r="B449" s="11" t="inlineStr">
        <is>
          <t>جلوآمپر کنترل ماشینی شده ICN1-DENA-HPT-THT</t>
        </is>
      </c>
      <c r="C449" s="11" t="inlineStr">
        <is>
          <t>12019630303</t>
        </is>
      </c>
      <c r="D449" s="11" t="inlineStr">
        <is>
          <t>1405/06/22</t>
        </is>
      </c>
      <c r="E449" s="13" t="n"/>
      <c r="F449" s="10" t="n">
        <v>29889</v>
      </c>
      <c r="G449" s="10" t="n">
        <v>1110132</v>
      </c>
      <c r="H449" s="11" t="inlineStr">
        <is>
          <t>Capacitor 1nF,X7R,50V,10% (3003864</t>
        </is>
      </c>
      <c r="I449" s="11" t="inlineStr">
        <is>
          <t>عدد</t>
        </is>
      </c>
      <c r="J449" s="10" t="n">
        <v>3</v>
      </c>
      <c r="K449" s="10" t="n">
        <v>1</v>
      </c>
      <c r="L449" s="11" t="inlineStr">
        <is>
          <t>-</t>
        </is>
      </c>
      <c r="M449" s="13" t="n"/>
      <c r="N449" s="13" t="n"/>
      <c r="O449" s="10" t="n">
        <v>100</v>
      </c>
      <c r="P449" s="11" t="inlineStr">
        <is>
          <t>مصرف مستقیم</t>
        </is>
      </c>
      <c r="Q449" s="10">
        <f>SUMIFS('ورودی برنامه'!$D$4:$D$16,'ورودی برنامه'!$A$4:$A$16,A449,'ورودی برنامه'!$C$4:$C$16,C449)</f>
        <v>630</v>
      </c>
      <c r="R449" s="10">
        <f>SUMIFS('ورودی برنامه'!$E$4:$E$16,'ورودی برنامه'!$A$4:$A$16,A449,'ورودی برنامه'!$C$4:$C$16,C449)</f>
        <v>360</v>
      </c>
      <c r="S449" s="10">
        <f>ROUND(Q449*J449/K449*O449/100,10)</f>
        <v>1890</v>
      </c>
      <c r="T449" s="10">
        <f>ROUND(R449*J449/K449*O449/100,10)</f>
        <v>1080</v>
      </c>
      <c r="U449" s="10" t="n">
        <v>1890</v>
      </c>
      <c r="V449" s="10" t="n">
        <v>1080</v>
      </c>
    </row>
    <row r="450" ht="20" customHeight="1">
      <c r="A450" s="5" t="n">
        <v>1201963</v>
      </c>
      <c r="B450" s="6" t="inlineStr">
        <is>
          <t>جلوآمپر کنترل ماشینی شده ICN1-DENA-HPT-THT</t>
        </is>
      </c>
      <c r="C450" s="6" t="inlineStr">
        <is>
          <t>12019630303</t>
        </is>
      </c>
      <c r="D450" s="6" t="inlineStr">
        <is>
          <t>1405/06/22</t>
        </is>
      </c>
      <c r="E450" s="9" t="n"/>
      <c r="F450" s="5" t="n">
        <v>30041</v>
      </c>
      <c r="G450" s="5" t="n">
        <v>1110135</v>
      </c>
      <c r="H450" s="6" t="inlineStr">
        <is>
          <t>Capacitor 1uF,16V,10%,X7R(3008118</t>
        </is>
      </c>
      <c r="I450" s="6" t="inlineStr">
        <is>
          <t>عدد</t>
        </is>
      </c>
      <c r="J450" s="5" t="n">
        <v>3</v>
      </c>
      <c r="K450" s="5" t="n">
        <v>1</v>
      </c>
      <c r="L450" s="6" t="inlineStr">
        <is>
          <t>-</t>
        </is>
      </c>
      <c r="M450" s="9" t="n"/>
      <c r="N450" s="9" t="n"/>
      <c r="O450" s="5" t="n">
        <v>100</v>
      </c>
      <c r="P450" s="6" t="inlineStr">
        <is>
          <t>مصرف مستقیم</t>
        </is>
      </c>
      <c r="Q450" s="5">
        <f>SUMIFS('ورودی برنامه'!$D$4:$D$16,'ورودی برنامه'!$A$4:$A$16,A450,'ورودی برنامه'!$C$4:$C$16,C450)</f>
        <v>630</v>
      </c>
      <c r="R450" s="5">
        <f>SUMIFS('ورودی برنامه'!$E$4:$E$16,'ورودی برنامه'!$A$4:$A$16,A450,'ورودی برنامه'!$C$4:$C$16,C450)</f>
        <v>360</v>
      </c>
      <c r="S450" s="5">
        <f>ROUND(Q450*J450/K450*O450/100,10)</f>
        <v>1890</v>
      </c>
      <c r="T450" s="5">
        <f>ROUND(R450*J450/K450*O450/100,10)</f>
        <v>1080</v>
      </c>
      <c r="U450" s="5" t="n">
        <v>1890</v>
      </c>
      <c r="V450" s="5" t="n">
        <v>1080</v>
      </c>
    </row>
    <row r="451" ht="20" customHeight="1">
      <c r="A451" s="10" t="n">
        <v>1201963</v>
      </c>
      <c r="B451" s="11" t="inlineStr">
        <is>
          <t>جلوآمپر کنترل ماشینی شده ICN1-DENA-HPT-THT</t>
        </is>
      </c>
      <c r="C451" s="11" t="inlineStr">
        <is>
          <t>12019630303</t>
        </is>
      </c>
      <c r="D451" s="11" t="inlineStr">
        <is>
          <t>1405/06/22</t>
        </is>
      </c>
      <c r="E451" s="13" t="n"/>
      <c r="F451" s="10" t="n">
        <v>30328</v>
      </c>
      <c r="G451" s="10" t="n">
        <v>1110706</v>
      </c>
      <c r="H451" s="11" t="inlineStr">
        <is>
          <t>resistor 1K,1%,1/10W</t>
        </is>
      </c>
      <c r="I451" s="11" t="inlineStr">
        <is>
          <t>عدد</t>
        </is>
      </c>
      <c r="J451" s="10" t="n">
        <v>6</v>
      </c>
      <c r="K451" s="10" t="n">
        <v>1</v>
      </c>
      <c r="L451" s="11" t="inlineStr">
        <is>
          <t>9</t>
        </is>
      </c>
      <c r="M451" s="10" t="n">
        <v>2</v>
      </c>
      <c r="N451" s="10" t="n">
        <v>50</v>
      </c>
      <c r="O451" s="10">
        <f>N451</f>
        <v>50</v>
      </c>
      <c r="P451" s="11" t="inlineStr">
        <is>
          <t>سهم درصد استفاده BOM</t>
        </is>
      </c>
      <c r="Q451" s="10">
        <f>SUMIFS('ورودی برنامه'!$D$4:$D$16,'ورودی برنامه'!$A$4:$A$16,A451,'ورودی برنامه'!$C$4:$C$16,C451)</f>
        <v>630</v>
      </c>
      <c r="R451" s="10">
        <f>SUMIFS('ورودی برنامه'!$E$4:$E$16,'ورودی برنامه'!$A$4:$A$16,A451,'ورودی برنامه'!$C$4:$C$16,C451)</f>
        <v>360</v>
      </c>
      <c r="S451" s="10">
        <f>ROUND(Q451*J451/K451*O451/100,10)</f>
        <v>1890</v>
      </c>
      <c r="T451" s="10">
        <f>ROUND(R451*J451/K451*O451/100,10)</f>
        <v>1080</v>
      </c>
      <c r="U451" s="10" t="n">
        <v>3780</v>
      </c>
      <c r="V451" s="10" t="n">
        <v>0</v>
      </c>
    </row>
    <row r="452" ht="20" customHeight="1">
      <c r="A452" s="5" t="n">
        <v>1201963</v>
      </c>
      <c r="B452" s="6" t="inlineStr">
        <is>
          <t>جلوآمپر کنترل ماشینی شده ICN1-DENA-HPT-THT</t>
        </is>
      </c>
      <c r="C452" s="6" t="inlineStr">
        <is>
          <t>12019630303</t>
        </is>
      </c>
      <c r="D452" s="6" t="inlineStr">
        <is>
          <t>1405/06/22</t>
        </is>
      </c>
      <c r="E452" s="9" t="n"/>
      <c r="F452" s="5" t="n">
        <v>30336</v>
      </c>
      <c r="G452" s="5" t="n">
        <v>1110702</v>
      </c>
      <c r="H452" s="6" t="inlineStr">
        <is>
          <t>resistor 10K,1%,1/10W</t>
        </is>
      </c>
      <c r="I452" s="6" t="inlineStr">
        <is>
          <t>عدد</t>
        </is>
      </c>
      <c r="J452" s="5" t="n">
        <v>13</v>
      </c>
      <c r="K452" s="5" t="n">
        <v>1</v>
      </c>
      <c r="L452" s="6" t="inlineStr">
        <is>
          <t>14</t>
        </is>
      </c>
      <c r="M452" s="5" t="n">
        <v>2</v>
      </c>
      <c r="N452" s="5" t="n">
        <v>50</v>
      </c>
      <c r="O452" s="5">
        <f>N452</f>
        <v>50</v>
      </c>
      <c r="P452" s="6" t="inlineStr">
        <is>
          <t>سهم درصد استفاده BOM</t>
        </is>
      </c>
      <c r="Q452" s="5">
        <f>SUMIFS('ورودی برنامه'!$D$4:$D$16,'ورودی برنامه'!$A$4:$A$16,A452,'ورودی برنامه'!$C$4:$C$16,C452)</f>
        <v>630</v>
      </c>
      <c r="R452" s="5">
        <f>SUMIFS('ورودی برنامه'!$E$4:$E$16,'ورودی برنامه'!$A$4:$A$16,A452,'ورودی برنامه'!$C$4:$C$16,C452)</f>
        <v>360</v>
      </c>
      <c r="S452" s="5">
        <f>ROUND(Q452*J452/K452*O452/100,10)</f>
        <v>4095</v>
      </c>
      <c r="T452" s="5">
        <f>ROUND(R452*J452/K452*O452/100,10)</f>
        <v>2340</v>
      </c>
      <c r="U452" s="5" t="n">
        <v>0</v>
      </c>
      <c r="V452" s="5" t="n">
        <v>0</v>
      </c>
    </row>
    <row r="453" ht="20" customHeight="1">
      <c r="A453" s="10" t="n">
        <v>1201963</v>
      </c>
      <c r="B453" s="11" t="inlineStr">
        <is>
          <t>جلوآمپر کنترل ماشینی شده ICN1-DENA-HPT-THT</t>
        </is>
      </c>
      <c r="C453" s="11" t="inlineStr">
        <is>
          <t>12019630303</t>
        </is>
      </c>
      <c r="D453" s="11" t="inlineStr">
        <is>
          <t>1405/06/22</t>
        </is>
      </c>
      <c r="E453" s="13" t="n"/>
      <c r="F453" s="10" t="n">
        <v>31712</v>
      </c>
      <c r="G453" s="10" t="n">
        <v>1110708</v>
      </c>
      <c r="H453" s="11" t="inlineStr">
        <is>
          <t>Resistor 1K,5%,1/10W (3004604</t>
        </is>
      </c>
      <c r="I453" s="11" t="inlineStr">
        <is>
          <t>عدد</t>
        </is>
      </c>
      <c r="J453" s="10" t="n">
        <v>6</v>
      </c>
      <c r="K453" s="10" t="n">
        <v>1</v>
      </c>
      <c r="L453" s="11" t="inlineStr">
        <is>
          <t>9</t>
        </is>
      </c>
      <c r="M453" s="10" t="n">
        <v>1</v>
      </c>
      <c r="N453" s="10" t="n">
        <v>50</v>
      </c>
      <c r="O453" s="10">
        <f>N453</f>
        <v>50</v>
      </c>
      <c r="P453" s="11" t="inlineStr">
        <is>
          <t>سهم درصد استفاده BOM</t>
        </is>
      </c>
      <c r="Q453" s="10">
        <f>SUMIFS('ورودی برنامه'!$D$4:$D$16,'ورودی برنامه'!$A$4:$A$16,A453,'ورودی برنامه'!$C$4:$C$16,C453)</f>
        <v>630</v>
      </c>
      <c r="R453" s="10">
        <f>SUMIFS('ورودی برنامه'!$E$4:$E$16,'ورودی برنامه'!$A$4:$A$16,A453,'ورودی برنامه'!$C$4:$C$16,C453)</f>
        <v>360</v>
      </c>
      <c r="S453" s="10">
        <f>ROUND(Q453*J453/K453*O453/100,10)</f>
        <v>1890</v>
      </c>
      <c r="T453" s="10">
        <f>ROUND(R453*J453/K453*O453/100,10)</f>
        <v>1080</v>
      </c>
      <c r="U453" s="10" t="n">
        <v>0</v>
      </c>
      <c r="V453" s="10" t="n">
        <v>2160</v>
      </c>
    </row>
    <row r="454" ht="20" customHeight="1">
      <c r="A454" s="5" t="n">
        <v>1201963</v>
      </c>
      <c r="B454" s="6" t="inlineStr">
        <is>
          <t>جلوآمپر کنترل ماشینی شده ICN1-DENA-HPT-THT</t>
        </is>
      </c>
      <c r="C454" s="6" t="inlineStr">
        <is>
          <t>12019630303</t>
        </is>
      </c>
      <c r="D454" s="6" t="inlineStr">
        <is>
          <t>1405/06/22</t>
        </is>
      </c>
      <c r="E454" s="9" t="n"/>
      <c r="F454" s="5" t="n">
        <v>31996</v>
      </c>
      <c r="G454" s="5" t="n">
        <v>1110714</v>
      </c>
      <c r="H454" s="6" t="inlineStr">
        <is>
          <t>Resistor 22K,1%,1/10W</t>
        </is>
      </c>
      <c r="I454" s="6" t="inlineStr">
        <is>
          <t>عدد</t>
        </is>
      </c>
      <c r="J454" s="5" t="n">
        <v>1</v>
      </c>
      <c r="K454" s="5" t="n">
        <v>1</v>
      </c>
      <c r="L454" s="6" t="inlineStr">
        <is>
          <t>19</t>
        </is>
      </c>
      <c r="M454" s="5" t="n">
        <v>2</v>
      </c>
      <c r="N454" s="5" t="n">
        <v>50</v>
      </c>
      <c r="O454" s="5">
        <f>N454</f>
        <v>50</v>
      </c>
      <c r="P454" s="6" t="inlineStr">
        <is>
          <t>سهم درصد استفاده BOM</t>
        </is>
      </c>
      <c r="Q454" s="5">
        <f>SUMIFS('ورودی برنامه'!$D$4:$D$16,'ورودی برنامه'!$A$4:$A$16,A454,'ورودی برنامه'!$C$4:$C$16,C454)</f>
        <v>630</v>
      </c>
      <c r="R454" s="5">
        <f>SUMIFS('ورودی برنامه'!$E$4:$E$16,'ورودی برنامه'!$A$4:$A$16,A454,'ورودی برنامه'!$C$4:$C$16,C454)</f>
        <v>360</v>
      </c>
      <c r="S454" s="5">
        <f>ROUND(Q454*J454/K454*O454/100,10)</f>
        <v>315</v>
      </c>
      <c r="T454" s="5">
        <f>ROUND(R454*J454/K454*O454/100,10)</f>
        <v>180</v>
      </c>
      <c r="U454" s="5" t="n">
        <v>0</v>
      </c>
      <c r="V454" s="5" t="n">
        <v>0</v>
      </c>
    </row>
    <row r="455" ht="20" customHeight="1">
      <c r="A455" s="10" t="n">
        <v>1201963</v>
      </c>
      <c r="B455" s="11" t="inlineStr">
        <is>
          <t>جلوآمپر کنترل ماشینی شده ICN1-DENA-HPT-THT</t>
        </is>
      </c>
      <c r="C455" s="11" t="inlineStr">
        <is>
          <t>12019630303</t>
        </is>
      </c>
      <c r="D455" s="11" t="inlineStr">
        <is>
          <t>1405/06/22</t>
        </is>
      </c>
      <c r="E455" s="13" t="n"/>
      <c r="F455" s="10" t="n">
        <v>32752</v>
      </c>
      <c r="G455" s="10" t="n">
        <v>1110748</v>
      </c>
      <c r="H455" s="11" t="inlineStr">
        <is>
          <t>Resistor 330, 1%, 1w</t>
        </is>
      </c>
      <c r="I455" s="11" t="inlineStr">
        <is>
          <t>عدد</t>
        </is>
      </c>
      <c r="J455" s="10" t="n">
        <v>2</v>
      </c>
      <c r="K455" s="10" t="n">
        <v>1</v>
      </c>
      <c r="L455" s="11" t="inlineStr">
        <is>
          <t>-</t>
        </is>
      </c>
      <c r="M455" s="13" t="n"/>
      <c r="N455" s="13" t="n"/>
      <c r="O455" s="10" t="n">
        <v>100</v>
      </c>
      <c r="P455" s="11" t="inlineStr">
        <is>
          <t>مصرف مستقیم</t>
        </is>
      </c>
      <c r="Q455" s="10">
        <f>SUMIFS('ورودی برنامه'!$D$4:$D$16,'ورودی برنامه'!$A$4:$A$16,A455,'ورودی برنامه'!$C$4:$C$16,C455)</f>
        <v>630</v>
      </c>
      <c r="R455" s="10">
        <f>SUMIFS('ورودی برنامه'!$E$4:$E$16,'ورودی برنامه'!$A$4:$A$16,A455,'ورودی برنامه'!$C$4:$C$16,C455)</f>
        <v>360</v>
      </c>
      <c r="S455" s="10">
        <f>ROUND(Q455*J455/K455*O455/100,10)</f>
        <v>1260</v>
      </c>
      <c r="T455" s="10">
        <f>ROUND(R455*J455/K455*O455/100,10)</f>
        <v>720</v>
      </c>
      <c r="U455" s="10" t="n">
        <v>1260</v>
      </c>
      <c r="V455" s="10" t="n">
        <v>720</v>
      </c>
    </row>
    <row r="456" ht="20" customHeight="1">
      <c r="A456" s="5" t="n">
        <v>1201963</v>
      </c>
      <c r="B456" s="6" t="inlineStr">
        <is>
          <t>جلوآمپر کنترل ماشینی شده ICN1-DENA-HPT-THT</t>
        </is>
      </c>
      <c r="C456" s="6" t="inlineStr">
        <is>
          <t>12019630303</t>
        </is>
      </c>
      <c r="D456" s="6" t="inlineStr">
        <is>
          <t>1405/06/22</t>
        </is>
      </c>
      <c r="E456" s="9" t="n"/>
      <c r="F456" s="5" t="n">
        <v>33137</v>
      </c>
      <c r="G456" s="5" t="n">
        <v>1110001</v>
      </c>
      <c r="H456" s="6" t="inlineStr">
        <is>
          <t>Capacitor 1UF, 50V, X7R,10%</t>
        </is>
      </c>
      <c r="I456" s="6" t="inlineStr">
        <is>
          <t>عدد</t>
        </is>
      </c>
      <c r="J456" s="5" t="n">
        <v>1</v>
      </c>
      <c r="K456" s="5" t="n">
        <v>1</v>
      </c>
      <c r="L456" s="6" t="inlineStr">
        <is>
          <t>1</t>
        </is>
      </c>
      <c r="M456" s="5" t="n">
        <v>2</v>
      </c>
      <c r="N456" s="5" t="n">
        <v>50</v>
      </c>
      <c r="O456" s="5">
        <f>N456</f>
        <v>50</v>
      </c>
      <c r="P456" s="6" t="inlineStr">
        <is>
          <t>سهم درصد استفاده BOM</t>
        </is>
      </c>
      <c r="Q456" s="5">
        <f>SUMIFS('ورودی برنامه'!$D$4:$D$16,'ورودی برنامه'!$A$4:$A$16,A456,'ورودی برنامه'!$C$4:$C$16,C456)</f>
        <v>630</v>
      </c>
      <c r="R456" s="5">
        <f>SUMIFS('ورودی برنامه'!$E$4:$E$16,'ورودی برنامه'!$A$4:$A$16,A456,'ورودی برنامه'!$C$4:$C$16,C456)</f>
        <v>360</v>
      </c>
      <c r="S456" s="5">
        <f>ROUND(Q456*J456/K456*O456/100,10)</f>
        <v>315</v>
      </c>
      <c r="T456" s="5">
        <f>ROUND(R456*J456/K456*O456/100,10)</f>
        <v>180</v>
      </c>
      <c r="U456" s="5" t="n">
        <v>0</v>
      </c>
      <c r="V456" s="5" t="n">
        <v>0</v>
      </c>
    </row>
    <row r="457" ht="20" customHeight="1">
      <c r="A457" s="10" t="n">
        <v>1201963</v>
      </c>
      <c r="B457" s="11" t="inlineStr">
        <is>
          <t>جلوآمپر کنترل ماشینی شده ICN1-DENA-HPT-THT</t>
        </is>
      </c>
      <c r="C457" s="11" t="inlineStr">
        <is>
          <t>12019630303</t>
        </is>
      </c>
      <c r="D457" s="11" t="inlineStr">
        <is>
          <t>1405/06/22</t>
        </is>
      </c>
      <c r="E457" s="13" t="n"/>
      <c r="F457" s="10" t="n">
        <v>33628</v>
      </c>
      <c r="G457" s="10" t="n">
        <v>1110101</v>
      </c>
      <c r="H457" s="11" t="inlineStr">
        <is>
          <t>Capacitor 47nF, X7R, 50V, 10%</t>
        </is>
      </c>
      <c r="I457" s="11" t="inlineStr">
        <is>
          <t>عدد</t>
        </is>
      </c>
      <c r="J457" s="10" t="n">
        <v>9</v>
      </c>
      <c r="K457" s="10" t="n">
        <v>1</v>
      </c>
      <c r="L457" s="11" t="inlineStr">
        <is>
          <t>-</t>
        </is>
      </c>
      <c r="M457" s="13" t="n"/>
      <c r="N457" s="13" t="n"/>
      <c r="O457" s="10" t="n">
        <v>100</v>
      </c>
      <c r="P457" s="11" t="inlineStr">
        <is>
          <t>مصرف مستقیم</t>
        </is>
      </c>
      <c r="Q457" s="10">
        <f>SUMIFS('ورودی برنامه'!$D$4:$D$16,'ورودی برنامه'!$A$4:$A$16,A457,'ورودی برنامه'!$C$4:$C$16,C457)</f>
        <v>630</v>
      </c>
      <c r="R457" s="10">
        <f>SUMIFS('ورودی برنامه'!$E$4:$E$16,'ورودی برنامه'!$A$4:$A$16,A457,'ورودی برنامه'!$C$4:$C$16,C457)</f>
        <v>360</v>
      </c>
      <c r="S457" s="10">
        <f>ROUND(Q457*J457/K457*O457/100,10)</f>
        <v>5670</v>
      </c>
      <c r="T457" s="10">
        <f>ROUND(R457*J457/K457*O457/100,10)</f>
        <v>3240</v>
      </c>
      <c r="U457" s="10" t="n">
        <v>5670</v>
      </c>
      <c r="V457" s="10" t="n">
        <v>3240</v>
      </c>
    </row>
    <row r="458" ht="20" customHeight="1">
      <c r="A458" s="5" t="n">
        <v>1201963</v>
      </c>
      <c r="B458" s="6" t="inlineStr">
        <is>
          <t>جلوآمپر کنترل ماشینی شده ICN1-DENA-HPT-THT</t>
        </is>
      </c>
      <c r="C458" s="6" t="inlineStr">
        <is>
          <t>12019630303</t>
        </is>
      </c>
      <c r="D458" s="6" t="inlineStr">
        <is>
          <t>1405/06/22</t>
        </is>
      </c>
      <c r="E458" s="9" t="n"/>
      <c r="F458" s="5" t="n">
        <v>33924</v>
      </c>
      <c r="G458" s="5" t="n">
        <v>1110109</v>
      </c>
      <c r="H458" s="6" t="inlineStr">
        <is>
          <t>Capacitor 68pF , 5%,50V , X7R</t>
        </is>
      </c>
      <c r="I458" s="6" t="inlineStr">
        <is>
          <t>عدد</t>
        </is>
      </c>
      <c r="J458" s="5" t="n">
        <v>2</v>
      </c>
      <c r="K458" s="5" t="n">
        <v>1</v>
      </c>
      <c r="L458" s="6" t="inlineStr">
        <is>
          <t>-</t>
        </is>
      </c>
      <c r="M458" s="9" t="n"/>
      <c r="N458" s="9" t="n"/>
      <c r="O458" s="5" t="n">
        <v>100</v>
      </c>
      <c r="P458" s="6" t="inlineStr">
        <is>
          <t>مصرف مستقیم</t>
        </is>
      </c>
      <c r="Q458" s="5">
        <f>SUMIFS('ورودی برنامه'!$D$4:$D$16,'ورودی برنامه'!$A$4:$A$16,A458,'ورودی برنامه'!$C$4:$C$16,C458)</f>
        <v>630</v>
      </c>
      <c r="R458" s="5">
        <f>SUMIFS('ورودی برنامه'!$E$4:$E$16,'ورودی برنامه'!$A$4:$A$16,A458,'ورودی برنامه'!$C$4:$C$16,C458)</f>
        <v>360</v>
      </c>
      <c r="S458" s="5">
        <f>ROUND(Q458*J458/K458*O458/100,10)</f>
        <v>1260</v>
      </c>
      <c r="T458" s="5">
        <f>ROUND(R458*J458/K458*O458/100,10)</f>
        <v>720</v>
      </c>
      <c r="U458" s="5" t="n">
        <v>1260</v>
      </c>
      <c r="V458" s="5" t="n">
        <v>720</v>
      </c>
    </row>
    <row r="459" ht="20" customHeight="1">
      <c r="A459" s="10" t="n">
        <v>1201963</v>
      </c>
      <c r="B459" s="11" t="inlineStr">
        <is>
          <t>جلوآمپر کنترل ماشینی شده ICN1-DENA-HPT-THT</t>
        </is>
      </c>
      <c r="C459" s="11" t="inlineStr">
        <is>
          <t>12019630303</t>
        </is>
      </c>
      <c r="D459" s="11" t="inlineStr">
        <is>
          <t>1405/06/22</t>
        </is>
      </c>
      <c r="E459" s="13" t="n"/>
      <c r="F459" s="10" t="n">
        <v>34395</v>
      </c>
      <c r="G459" s="10" t="n">
        <v>1110760</v>
      </c>
      <c r="H459" s="11" t="inlineStr">
        <is>
          <t>Resistor 47,5%,1/10W</t>
        </is>
      </c>
      <c r="I459" s="11" t="inlineStr">
        <is>
          <t>عدد</t>
        </is>
      </c>
      <c r="J459" s="10" t="n">
        <v>1</v>
      </c>
      <c r="K459" s="10" t="n">
        <v>1</v>
      </c>
      <c r="L459" s="11" t="inlineStr">
        <is>
          <t>-</t>
        </is>
      </c>
      <c r="M459" s="13" t="n"/>
      <c r="N459" s="13" t="n"/>
      <c r="O459" s="10" t="n">
        <v>100</v>
      </c>
      <c r="P459" s="11" t="inlineStr">
        <is>
          <t>مصرف مستقیم</t>
        </is>
      </c>
      <c r="Q459" s="10">
        <f>SUMIFS('ورودی برنامه'!$D$4:$D$16,'ورودی برنامه'!$A$4:$A$16,A459,'ورودی برنامه'!$C$4:$C$16,C459)</f>
        <v>630</v>
      </c>
      <c r="R459" s="10">
        <f>SUMIFS('ورودی برنامه'!$E$4:$E$16,'ورودی برنامه'!$A$4:$A$16,A459,'ورودی برنامه'!$C$4:$C$16,C459)</f>
        <v>360</v>
      </c>
      <c r="S459" s="10">
        <f>ROUND(Q459*J459/K459*O459/100,10)</f>
        <v>630</v>
      </c>
      <c r="T459" s="10">
        <f>ROUND(R459*J459/K459*O459/100,10)</f>
        <v>360</v>
      </c>
      <c r="U459" s="10" t="n">
        <v>630</v>
      </c>
      <c r="V459" s="10" t="n">
        <v>360</v>
      </c>
    </row>
    <row r="460" ht="20" customHeight="1">
      <c r="A460" s="5" t="n">
        <v>1201963</v>
      </c>
      <c r="B460" s="6" t="inlineStr">
        <is>
          <t>جلوآمپر کنترل ماشینی شده ICN1-DENA-HPT-THT</t>
        </is>
      </c>
      <c r="C460" s="6" t="inlineStr">
        <is>
          <t>12019630303</t>
        </is>
      </c>
      <c r="D460" s="6" t="inlineStr">
        <is>
          <t>1405/06/22</t>
        </is>
      </c>
      <c r="E460" s="9" t="n"/>
      <c r="F460" s="5" t="n">
        <v>34435</v>
      </c>
      <c r="G460" s="5" t="n">
        <v>1110761</v>
      </c>
      <c r="H460" s="6" t="inlineStr">
        <is>
          <t>Resistor 4.7k, 1%, 1/16W</t>
        </is>
      </c>
      <c r="I460" s="6" t="inlineStr">
        <is>
          <t>عدد</t>
        </is>
      </c>
      <c r="J460" s="5" t="n">
        <v>4</v>
      </c>
      <c r="K460" s="5" t="n">
        <v>1</v>
      </c>
      <c r="L460" s="6" t="inlineStr">
        <is>
          <t>13</t>
        </is>
      </c>
      <c r="M460" s="5" t="n">
        <v>2</v>
      </c>
      <c r="N460" s="5" t="n">
        <v>50</v>
      </c>
      <c r="O460" s="5">
        <f>N460</f>
        <v>50</v>
      </c>
      <c r="P460" s="6" t="inlineStr">
        <is>
          <t>سهم درصد استفاده BOM</t>
        </is>
      </c>
      <c r="Q460" s="5">
        <f>SUMIFS('ورودی برنامه'!$D$4:$D$16,'ورودی برنامه'!$A$4:$A$16,A460,'ورودی برنامه'!$C$4:$C$16,C460)</f>
        <v>630</v>
      </c>
      <c r="R460" s="5">
        <f>SUMIFS('ورودی برنامه'!$E$4:$E$16,'ورودی برنامه'!$A$4:$A$16,A460,'ورودی برنامه'!$C$4:$C$16,C460)</f>
        <v>360</v>
      </c>
      <c r="S460" s="5">
        <f>ROUND(Q460*J460/K460*O460/100,10)</f>
        <v>1260</v>
      </c>
      <c r="T460" s="5">
        <f>ROUND(R460*J460/K460*O460/100,10)</f>
        <v>720</v>
      </c>
      <c r="U460" s="5" t="n">
        <v>0</v>
      </c>
      <c r="V460" s="5" t="n">
        <v>0</v>
      </c>
    </row>
    <row r="461" ht="20" customHeight="1">
      <c r="A461" s="10" t="n">
        <v>1201963</v>
      </c>
      <c r="B461" s="11" t="inlineStr">
        <is>
          <t>جلوآمپر کنترل ماشینی شده ICN1-DENA-HPT-THT</t>
        </is>
      </c>
      <c r="C461" s="11" t="inlineStr">
        <is>
          <t>12019630303</t>
        </is>
      </c>
      <c r="D461" s="11" t="inlineStr">
        <is>
          <t>1405/06/22</t>
        </is>
      </c>
      <c r="E461" s="13" t="n"/>
      <c r="F461" s="10" t="n">
        <v>35144</v>
      </c>
      <c r="G461" s="10" t="n">
        <v>1110749</v>
      </c>
      <c r="H461" s="11" t="inlineStr">
        <is>
          <t>Resistor 47K ,1%,1/16W</t>
        </is>
      </c>
      <c r="I461" s="11" t="inlineStr">
        <is>
          <t>عدد</t>
        </is>
      </c>
      <c r="J461" s="10" t="n">
        <v>3</v>
      </c>
      <c r="K461" s="10" t="n">
        <v>1</v>
      </c>
      <c r="L461" s="11" t="inlineStr">
        <is>
          <t>12</t>
        </is>
      </c>
      <c r="M461" s="10" t="n">
        <v>2</v>
      </c>
      <c r="N461" s="10" t="n">
        <v>50</v>
      </c>
      <c r="O461" s="10">
        <f>N461</f>
        <v>50</v>
      </c>
      <c r="P461" s="11" t="inlineStr">
        <is>
          <t>سهم درصد استفاده BOM</t>
        </is>
      </c>
      <c r="Q461" s="10">
        <f>SUMIFS('ورودی برنامه'!$D$4:$D$16,'ورودی برنامه'!$A$4:$A$16,A461,'ورودی برنامه'!$C$4:$C$16,C461)</f>
        <v>630</v>
      </c>
      <c r="R461" s="10">
        <f>SUMIFS('ورودی برنامه'!$E$4:$E$16,'ورودی برنامه'!$A$4:$A$16,A461,'ورودی برنامه'!$C$4:$C$16,C461)</f>
        <v>360</v>
      </c>
      <c r="S461" s="10">
        <f>ROUND(Q461*J461/K461*O461/100,10)</f>
        <v>945</v>
      </c>
      <c r="T461" s="10">
        <f>ROUND(R461*J461/K461*O461/100,10)</f>
        <v>540</v>
      </c>
      <c r="U461" s="10" t="n">
        <v>0</v>
      </c>
      <c r="V461" s="10" t="n">
        <v>0</v>
      </c>
    </row>
    <row r="462" ht="20" customHeight="1">
      <c r="A462" s="5" t="n">
        <v>1201963</v>
      </c>
      <c r="B462" s="6" t="inlineStr">
        <is>
          <t>جلوآمپر کنترل ماشینی شده ICN1-DENA-HPT-THT</t>
        </is>
      </c>
      <c r="C462" s="6" t="inlineStr">
        <is>
          <t>12019630303</t>
        </is>
      </c>
      <c r="D462" s="6" t="inlineStr">
        <is>
          <t>1405/06/22</t>
        </is>
      </c>
      <c r="E462" s="9" t="n"/>
      <c r="F462" s="5" t="n">
        <v>35397</v>
      </c>
      <c r="G462" s="5" t="n">
        <v>1110808</v>
      </c>
      <c r="H462" s="6" t="inlineStr">
        <is>
          <t>Diode Zener BZT52B5V6</t>
        </is>
      </c>
      <c r="I462" s="6" t="inlineStr">
        <is>
          <t>عدد</t>
        </is>
      </c>
      <c r="J462" s="5" t="n">
        <v>1</v>
      </c>
      <c r="K462" s="5" t="n">
        <v>1</v>
      </c>
      <c r="L462" s="6" t="inlineStr">
        <is>
          <t>-</t>
        </is>
      </c>
      <c r="M462" s="9" t="n"/>
      <c r="N462" s="9" t="n"/>
      <c r="O462" s="5" t="n">
        <v>100</v>
      </c>
      <c r="P462" s="6" t="inlineStr">
        <is>
          <t>مصرف مستقیم</t>
        </is>
      </c>
      <c r="Q462" s="5">
        <f>SUMIFS('ورودی برنامه'!$D$4:$D$16,'ورودی برنامه'!$A$4:$A$16,A462,'ورودی برنامه'!$C$4:$C$16,C462)</f>
        <v>630</v>
      </c>
      <c r="R462" s="5">
        <f>SUMIFS('ورودی برنامه'!$E$4:$E$16,'ورودی برنامه'!$A$4:$A$16,A462,'ورودی برنامه'!$C$4:$C$16,C462)</f>
        <v>360</v>
      </c>
      <c r="S462" s="5">
        <f>ROUND(Q462*J462/K462*O462/100,10)</f>
        <v>630</v>
      </c>
      <c r="T462" s="5">
        <f>ROUND(R462*J462/K462*O462/100,10)</f>
        <v>360</v>
      </c>
      <c r="U462" s="5" t="n">
        <v>630</v>
      </c>
      <c r="V462" s="5" t="n">
        <v>360</v>
      </c>
    </row>
    <row r="463" ht="20" customHeight="1">
      <c r="A463" s="10" t="n">
        <v>1201963</v>
      </c>
      <c r="B463" s="11" t="inlineStr">
        <is>
          <t>جلوآمپر کنترل ماشینی شده ICN1-DENA-HPT-THT</t>
        </is>
      </c>
      <c r="C463" s="11" t="inlineStr">
        <is>
          <t>12019630303</t>
        </is>
      </c>
      <c r="D463" s="11" t="inlineStr">
        <is>
          <t>1405/06/22</t>
        </is>
      </c>
      <c r="E463" s="13" t="n"/>
      <c r="F463" s="10" t="n">
        <v>36315</v>
      </c>
      <c r="G463" s="10" t="n">
        <v>1110123</v>
      </c>
      <c r="H463" s="11" t="inlineStr">
        <is>
          <t>(Capacitor 1UF, 25V, X7R, 10%(1206</t>
        </is>
      </c>
      <c r="I463" s="11" t="inlineStr">
        <is>
          <t>عدد</t>
        </is>
      </c>
      <c r="J463" s="10" t="n">
        <v>1</v>
      </c>
      <c r="K463" s="10" t="n">
        <v>1</v>
      </c>
      <c r="L463" s="11" t="inlineStr">
        <is>
          <t>1</t>
        </is>
      </c>
      <c r="M463" s="10" t="n">
        <v>1</v>
      </c>
      <c r="N463" s="10" t="n">
        <v>50</v>
      </c>
      <c r="O463" s="10">
        <f>N463</f>
        <v>50</v>
      </c>
      <c r="P463" s="11" t="inlineStr">
        <is>
          <t>سهم درصد استفاده BOM</t>
        </is>
      </c>
      <c r="Q463" s="10">
        <f>SUMIFS('ورودی برنامه'!$D$4:$D$16,'ورودی برنامه'!$A$4:$A$16,A463,'ورودی برنامه'!$C$4:$C$16,C463)</f>
        <v>630</v>
      </c>
      <c r="R463" s="10">
        <f>SUMIFS('ورودی برنامه'!$E$4:$E$16,'ورودی برنامه'!$A$4:$A$16,A463,'ورودی برنامه'!$C$4:$C$16,C463)</f>
        <v>360</v>
      </c>
      <c r="S463" s="10">
        <f>ROUND(Q463*J463/K463*O463/100,10)</f>
        <v>315</v>
      </c>
      <c r="T463" s="10">
        <f>ROUND(R463*J463/K463*O463/100,10)</f>
        <v>180</v>
      </c>
      <c r="U463" s="10" t="n">
        <v>630</v>
      </c>
      <c r="V463" s="10" t="n">
        <v>360</v>
      </c>
    </row>
    <row r="464" ht="20" customHeight="1">
      <c r="A464" s="5" t="n">
        <v>1201963</v>
      </c>
      <c r="B464" s="6" t="inlineStr">
        <is>
          <t>جلوآمپر کنترل ماشینی شده ICN1-DENA-HPT-THT</t>
        </is>
      </c>
      <c r="C464" s="6" t="inlineStr">
        <is>
          <t>12019630303</t>
        </is>
      </c>
      <c r="D464" s="6" t="inlineStr">
        <is>
          <t>1405/06/22</t>
        </is>
      </c>
      <c r="E464" s="9" t="n"/>
      <c r="F464" s="5" t="n">
        <v>36665</v>
      </c>
      <c r="G464" s="5" t="n">
        <v>1110875</v>
      </c>
      <c r="H464" s="6" t="inlineStr">
        <is>
          <t>LED, True Green LT T673-P1Q2-25-Z</t>
        </is>
      </c>
      <c r="I464" s="6" t="inlineStr">
        <is>
          <t>عدد</t>
        </is>
      </c>
      <c r="J464" s="5" t="n">
        <v>3</v>
      </c>
      <c r="K464" s="5" t="n">
        <v>1</v>
      </c>
      <c r="L464" s="6" t="inlineStr">
        <is>
          <t>5</t>
        </is>
      </c>
      <c r="M464" s="5" t="n">
        <v>2</v>
      </c>
      <c r="N464" s="5" t="n">
        <v>50</v>
      </c>
      <c r="O464" s="5">
        <f>N464</f>
        <v>50</v>
      </c>
      <c r="P464" s="6" t="inlineStr">
        <is>
          <t>سهم درصد استفاده BOM</t>
        </is>
      </c>
      <c r="Q464" s="5">
        <f>SUMIFS('ورودی برنامه'!$D$4:$D$16,'ورودی برنامه'!$A$4:$A$16,A464,'ورودی برنامه'!$C$4:$C$16,C464)</f>
        <v>630</v>
      </c>
      <c r="R464" s="5">
        <f>SUMIFS('ورودی برنامه'!$E$4:$E$16,'ورودی برنامه'!$A$4:$A$16,A464,'ورودی برنامه'!$C$4:$C$16,C464)</f>
        <v>360</v>
      </c>
      <c r="S464" s="5">
        <f>ROUND(Q464*J464/K464*O464/100,10)</f>
        <v>945</v>
      </c>
      <c r="T464" s="5">
        <f>ROUND(R464*J464/K464*O464/100,10)</f>
        <v>540</v>
      </c>
      <c r="U464" s="5" t="n">
        <v>0</v>
      </c>
      <c r="V464" s="5" t="n">
        <v>0</v>
      </c>
    </row>
    <row r="465" ht="20" customHeight="1">
      <c r="A465" s="10" t="n">
        <v>1201963</v>
      </c>
      <c r="B465" s="11" t="inlineStr">
        <is>
          <t>جلوآمپر کنترل ماشینی شده ICN1-DENA-HPT-THT</t>
        </is>
      </c>
      <c r="C465" s="11" t="inlineStr">
        <is>
          <t>12019630303</t>
        </is>
      </c>
      <c r="D465" s="11" t="inlineStr">
        <is>
          <t>1405/06/22</t>
        </is>
      </c>
      <c r="E465" s="13" t="n"/>
      <c r="F465" s="10" t="n">
        <v>36678</v>
      </c>
      <c r="G465" s="10" t="n">
        <v>1110876</v>
      </c>
      <c r="H465" s="11" t="inlineStr">
        <is>
          <t>LED, Blue LB T676-K2L2-1</t>
        </is>
      </c>
      <c r="I465" s="11" t="inlineStr">
        <is>
          <t>عدد</t>
        </is>
      </c>
      <c r="J465" s="10" t="n">
        <v>1</v>
      </c>
      <c r="K465" s="10" t="n">
        <v>1</v>
      </c>
      <c r="L465" s="11" t="inlineStr">
        <is>
          <t>6</t>
        </is>
      </c>
      <c r="M465" s="10" t="n">
        <v>3</v>
      </c>
      <c r="N465" s="10" t="n">
        <v>33</v>
      </c>
      <c r="O465" s="10">
        <f>N465</f>
        <v>33</v>
      </c>
      <c r="P465" s="11" t="inlineStr">
        <is>
          <t>سهم درصد استفاده BOM</t>
        </is>
      </c>
      <c r="Q465" s="10">
        <f>SUMIFS('ورودی برنامه'!$D$4:$D$16,'ورودی برنامه'!$A$4:$A$16,A465,'ورودی برنامه'!$C$4:$C$16,C465)</f>
        <v>630</v>
      </c>
      <c r="R465" s="10">
        <f>SUMIFS('ورودی برنامه'!$E$4:$E$16,'ورودی برنامه'!$A$4:$A$16,A465,'ورودی برنامه'!$C$4:$C$16,C465)</f>
        <v>360</v>
      </c>
      <c r="S465" s="10">
        <f>ROUND(Q465*J465/K465*O465/100,10)</f>
        <v>207.9</v>
      </c>
      <c r="T465" s="10">
        <f>ROUND(R465*J465/K465*O465/100,10)</f>
        <v>118.8</v>
      </c>
      <c r="U465" s="10" t="n">
        <v>0</v>
      </c>
      <c r="V465" s="10" t="n">
        <v>0</v>
      </c>
    </row>
    <row r="466" ht="20" customHeight="1">
      <c r="A466" s="5" t="n">
        <v>1201963</v>
      </c>
      <c r="B466" s="6" t="inlineStr">
        <is>
          <t>جلوآمپر کنترل ماشینی شده ICN1-DENA-HPT-THT</t>
        </is>
      </c>
      <c r="C466" s="6" t="inlineStr">
        <is>
          <t>12019630303</t>
        </is>
      </c>
      <c r="D466" s="6" t="inlineStr">
        <is>
          <t>1405/06/22</t>
        </is>
      </c>
      <c r="E466" s="9" t="n"/>
      <c r="F466" s="5" t="n">
        <v>36965</v>
      </c>
      <c r="G466" s="5" t="n">
        <v>1110849</v>
      </c>
      <c r="H466" s="6" t="inlineStr">
        <is>
          <t>LED, Blue EL 67-21B1C-A1J2L1C6C-2T8-AM</t>
        </is>
      </c>
      <c r="I466" s="6" t="inlineStr">
        <is>
          <t>عدد</t>
        </is>
      </c>
      <c r="J466" s="5" t="n">
        <v>1</v>
      </c>
      <c r="K466" s="5" t="n">
        <v>1</v>
      </c>
      <c r="L466" s="6" t="inlineStr">
        <is>
          <t>6</t>
        </is>
      </c>
      <c r="M466" s="5" t="n">
        <v>2</v>
      </c>
      <c r="N466" s="5" t="n">
        <v>33</v>
      </c>
      <c r="O466" s="5">
        <f>N466</f>
        <v>33</v>
      </c>
      <c r="P466" s="6" t="inlineStr">
        <is>
          <t>سهم درصد استفاده BOM</t>
        </is>
      </c>
      <c r="Q466" s="5">
        <f>SUMIFS('ورودی برنامه'!$D$4:$D$16,'ورودی برنامه'!$A$4:$A$16,A466,'ورودی برنامه'!$C$4:$C$16,C466)</f>
        <v>630</v>
      </c>
      <c r="R466" s="5">
        <f>SUMIFS('ورودی برنامه'!$E$4:$E$16,'ورودی برنامه'!$A$4:$A$16,A466,'ورودی برنامه'!$C$4:$C$16,C466)</f>
        <v>360</v>
      </c>
      <c r="S466" s="5">
        <f>ROUND(Q466*J466/K466*O466/100,10)</f>
        <v>207.9</v>
      </c>
      <c r="T466" s="5">
        <f>ROUND(R466*J466/K466*O466/100,10)</f>
        <v>118.8</v>
      </c>
      <c r="U466" s="5" t="n">
        <v>0</v>
      </c>
      <c r="V466" s="5" t="n">
        <v>0</v>
      </c>
    </row>
    <row r="467" ht="20" customHeight="1">
      <c r="A467" s="10" t="n">
        <v>1201963</v>
      </c>
      <c r="B467" s="11" t="inlineStr">
        <is>
          <t>جلوآمپر کنترل ماشینی شده ICN1-DENA-HPT-THT</t>
        </is>
      </c>
      <c r="C467" s="11" t="inlineStr">
        <is>
          <t>12019630303</t>
        </is>
      </c>
      <c r="D467" s="11" t="inlineStr">
        <is>
          <t>1405/06/22</t>
        </is>
      </c>
      <c r="E467" s="13" t="n"/>
      <c r="F467" s="10" t="n">
        <v>36978</v>
      </c>
      <c r="G467" s="10" t="n">
        <v>1110877</v>
      </c>
      <c r="H467" s="11" t="inlineStr">
        <is>
          <t>LED, White FYLS-3528UWC-Z</t>
        </is>
      </c>
      <c r="I467" s="11" t="inlineStr">
        <is>
          <t>عدد</t>
        </is>
      </c>
      <c r="J467" s="10" t="n">
        <v>12</v>
      </c>
      <c r="K467" s="10" t="n">
        <v>1</v>
      </c>
      <c r="L467" s="11" t="inlineStr">
        <is>
          <t>3</t>
        </is>
      </c>
      <c r="M467" s="10" t="n">
        <v>4</v>
      </c>
      <c r="N467" s="10" t="n">
        <v>25</v>
      </c>
      <c r="O467" s="10">
        <f>N467</f>
        <v>25</v>
      </c>
      <c r="P467" s="11" t="inlineStr">
        <is>
          <t>سهم درصد استفاده BOM</t>
        </is>
      </c>
      <c r="Q467" s="10">
        <f>SUMIFS('ورودی برنامه'!$D$4:$D$16,'ورودی برنامه'!$A$4:$A$16,A467,'ورودی برنامه'!$C$4:$C$16,C467)</f>
        <v>630</v>
      </c>
      <c r="R467" s="10">
        <f>SUMIFS('ورودی برنامه'!$E$4:$E$16,'ورودی برنامه'!$A$4:$A$16,A467,'ورودی برنامه'!$C$4:$C$16,C467)</f>
        <v>360</v>
      </c>
      <c r="S467" s="10">
        <f>ROUND(Q467*J467/K467*O467/100,10)</f>
        <v>1890</v>
      </c>
      <c r="T467" s="10">
        <f>ROUND(R467*J467/K467*O467/100,10)</f>
        <v>1080</v>
      </c>
      <c r="U467" s="10" t="n">
        <v>0</v>
      </c>
      <c r="V467" s="10" t="n">
        <v>0</v>
      </c>
    </row>
    <row r="468" ht="20" customHeight="1">
      <c r="A468" s="5" t="n">
        <v>1201963</v>
      </c>
      <c r="B468" s="6" t="inlineStr">
        <is>
          <t>جلوآمپر کنترل ماشینی شده ICN1-DENA-HPT-THT</t>
        </is>
      </c>
      <c r="C468" s="6" t="inlineStr">
        <is>
          <t>12019630303</t>
        </is>
      </c>
      <c r="D468" s="6" t="inlineStr">
        <is>
          <t>1405/06/22</t>
        </is>
      </c>
      <c r="E468" s="9" t="n"/>
      <c r="F468" s="5" t="n">
        <v>37177</v>
      </c>
      <c r="G468" s="5" t="n">
        <v>1110848</v>
      </c>
      <c r="H468" s="6" t="inlineStr">
        <is>
          <t>LED, White UE-PT440NW0-10T</t>
        </is>
      </c>
      <c r="I468" s="6" t="inlineStr">
        <is>
          <t>عدد</t>
        </is>
      </c>
      <c r="J468" s="5" t="n">
        <v>12</v>
      </c>
      <c r="K468" s="5" t="n">
        <v>1</v>
      </c>
      <c r="L468" s="6" t="inlineStr">
        <is>
          <t>3</t>
        </is>
      </c>
      <c r="M468" s="5" t="n">
        <v>3</v>
      </c>
      <c r="N468" s="5" t="n">
        <v>25</v>
      </c>
      <c r="O468" s="5">
        <f>N468</f>
        <v>25</v>
      </c>
      <c r="P468" s="6" t="inlineStr">
        <is>
          <t>سهم درصد استفاده BOM</t>
        </is>
      </c>
      <c r="Q468" s="5">
        <f>SUMIFS('ورودی برنامه'!$D$4:$D$16,'ورودی برنامه'!$A$4:$A$16,A468,'ورودی برنامه'!$C$4:$C$16,C468)</f>
        <v>630</v>
      </c>
      <c r="R468" s="5">
        <f>SUMIFS('ورودی برنامه'!$E$4:$E$16,'ورودی برنامه'!$A$4:$A$16,A468,'ورودی برنامه'!$C$4:$C$16,C468)</f>
        <v>360</v>
      </c>
      <c r="S468" s="5">
        <f>ROUND(Q468*J468/K468*O468/100,10)</f>
        <v>1890</v>
      </c>
      <c r="T468" s="5">
        <f>ROUND(R468*J468/K468*O468/100,10)</f>
        <v>1080</v>
      </c>
      <c r="U468" s="5" t="n">
        <v>0</v>
      </c>
      <c r="V468" s="5" t="n">
        <v>0</v>
      </c>
    </row>
    <row r="469" ht="20" customHeight="1">
      <c r="A469" s="10" t="n">
        <v>1201963</v>
      </c>
      <c r="B469" s="11" t="inlineStr">
        <is>
          <t>جلوآمپر کنترل ماشینی شده ICN1-DENA-HPT-THT</t>
        </is>
      </c>
      <c r="C469" s="11" t="inlineStr">
        <is>
          <t>12019630303</t>
        </is>
      </c>
      <c r="D469" s="11" t="inlineStr">
        <is>
          <t>1405/06/22</t>
        </is>
      </c>
      <c r="E469" s="13" t="n"/>
      <c r="F469" s="10" t="n">
        <v>37190</v>
      </c>
      <c r="G469" s="10" t="n">
        <v>1110847</v>
      </c>
      <c r="H469" s="11" t="inlineStr">
        <is>
          <t>LED, White AT-PLCC2-W1</t>
        </is>
      </c>
      <c r="I469" s="11" t="inlineStr">
        <is>
          <t>عدد</t>
        </is>
      </c>
      <c r="J469" s="10" t="n">
        <v>12</v>
      </c>
      <c r="K469" s="10" t="n">
        <v>1</v>
      </c>
      <c r="L469" s="11" t="inlineStr">
        <is>
          <t>3</t>
        </is>
      </c>
      <c r="M469" s="10" t="n">
        <v>2</v>
      </c>
      <c r="N469" s="10" t="n">
        <v>25</v>
      </c>
      <c r="O469" s="10">
        <f>N469</f>
        <v>25</v>
      </c>
      <c r="P469" s="11" t="inlineStr">
        <is>
          <t>سهم درصد استفاده BOM</t>
        </is>
      </c>
      <c r="Q469" s="10">
        <f>SUMIFS('ورودی برنامه'!$D$4:$D$16,'ورودی برنامه'!$A$4:$A$16,A469,'ورودی برنامه'!$C$4:$C$16,C469)</f>
        <v>630</v>
      </c>
      <c r="R469" s="10">
        <f>SUMIFS('ورودی برنامه'!$E$4:$E$16,'ورودی برنامه'!$A$4:$A$16,A469,'ورودی برنامه'!$C$4:$C$16,C469)</f>
        <v>360</v>
      </c>
      <c r="S469" s="10">
        <f>ROUND(Q469*J469/K469*O469/100,10)</f>
        <v>1890</v>
      </c>
      <c r="T469" s="10">
        <f>ROUND(R469*J469/K469*O469/100,10)</f>
        <v>1080</v>
      </c>
      <c r="U469" s="10" t="n">
        <v>0</v>
      </c>
      <c r="V469" s="10" t="n">
        <v>0</v>
      </c>
    </row>
    <row r="470" ht="20" customHeight="1">
      <c r="A470" s="5" t="n">
        <v>1201963</v>
      </c>
      <c r="B470" s="6" t="inlineStr">
        <is>
          <t>جلوآمپر کنترل ماشینی شده ICN1-DENA-HPT-THT</t>
        </is>
      </c>
      <c r="C470" s="6" t="inlineStr">
        <is>
          <t>12019630303</t>
        </is>
      </c>
      <c r="D470" s="6" t="inlineStr">
        <is>
          <t>1405/06/22</t>
        </is>
      </c>
      <c r="E470" s="9" t="n"/>
      <c r="F470" s="5" t="n">
        <v>37541</v>
      </c>
      <c r="G470" s="5" t="n">
        <v>1110901</v>
      </c>
      <c r="H470" s="6" t="inlineStr">
        <is>
          <t>Diode 1N4007WS</t>
        </is>
      </c>
      <c r="I470" s="6" t="inlineStr">
        <is>
          <t>عدد</t>
        </is>
      </c>
      <c r="J470" s="5" t="n">
        <v>3</v>
      </c>
      <c r="K470" s="5" t="n">
        <v>1</v>
      </c>
      <c r="L470" s="6" t="inlineStr">
        <is>
          <t>-</t>
        </is>
      </c>
      <c r="M470" s="9" t="n"/>
      <c r="N470" s="9" t="n"/>
      <c r="O470" s="5" t="n">
        <v>100</v>
      </c>
      <c r="P470" s="6" t="inlineStr">
        <is>
          <t>مصرف مستقیم</t>
        </is>
      </c>
      <c r="Q470" s="5">
        <f>SUMIFS('ورودی برنامه'!$D$4:$D$16,'ورودی برنامه'!$A$4:$A$16,A470,'ورودی برنامه'!$C$4:$C$16,C470)</f>
        <v>630</v>
      </c>
      <c r="R470" s="5">
        <f>SUMIFS('ورودی برنامه'!$E$4:$E$16,'ورودی برنامه'!$A$4:$A$16,A470,'ورودی برنامه'!$C$4:$C$16,C470)</f>
        <v>360</v>
      </c>
      <c r="S470" s="5">
        <f>ROUND(Q470*J470/K470*O470/100,10)</f>
        <v>1890</v>
      </c>
      <c r="T470" s="5">
        <f>ROUND(R470*J470/K470*O470/100,10)</f>
        <v>1080</v>
      </c>
      <c r="U470" s="5" t="n">
        <v>1890</v>
      </c>
      <c r="V470" s="5" t="n">
        <v>1080</v>
      </c>
    </row>
    <row r="471" ht="20" customHeight="1">
      <c r="A471" s="10" t="n">
        <v>1201997</v>
      </c>
      <c r="B471" s="11" t="inlineStr">
        <is>
          <t>جلوآمپر کنترل ماشینی شده 207 دستی یکسان سازی</t>
        </is>
      </c>
      <c r="C471" s="11" t="inlineStr">
        <is>
          <t>12019970105</t>
        </is>
      </c>
      <c r="D471" s="11" t="inlineStr">
        <is>
          <t>1405/03/27</t>
        </is>
      </c>
      <c r="E471" s="13" t="n"/>
      <c r="F471" s="10" t="n">
        <v>649</v>
      </c>
      <c r="G471" s="10" t="n">
        <v>1111039</v>
      </c>
      <c r="H471" s="11" t="inlineStr">
        <is>
          <t>IC RL78</t>
        </is>
      </c>
      <c r="I471" s="11" t="inlineStr">
        <is>
          <t>عدد</t>
        </is>
      </c>
      <c r="J471" s="10" t="n">
        <v>1</v>
      </c>
      <c r="K471" s="10" t="n">
        <v>1</v>
      </c>
      <c r="L471" s="11" t="inlineStr">
        <is>
          <t>16</t>
        </is>
      </c>
      <c r="M471" s="10" t="n">
        <v>1</v>
      </c>
      <c r="N471" s="10" t="n">
        <v>34</v>
      </c>
      <c r="O471" s="10">
        <f>N471</f>
        <v>34</v>
      </c>
      <c r="P471" s="11" t="inlineStr">
        <is>
          <t>سهم درصد استفاده BOM</t>
        </is>
      </c>
      <c r="Q471" s="10">
        <f>SUMIFS('ورودی برنامه'!$D$4:$D$16,'ورودی برنامه'!$A$4:$A$16,A471,'ورودی برنامه'!$C$4:$C$16,C471)</f>
        <v>1050</v>
      </c>
      <c r="R471" s="10">
        <f>SUMIFS('ورودی برنامه'!$E$4:$E$16,'ورودی برنامه'!$A$4:$A$16,A471,'ورودی برنامه'!$C$4:$C$16,C471)</f>
        <v>0</v>
      </c>
      <c r="S471" s="10">
        <f>ROUND(Q471*J471/K471*O471/100,10)</f>
        <v>357</v>
      </c>
      <c r="T471" s="10">
        <f>ROUND(R471*J471/K471*O471/100,10)</f>
        <v>0</v>
      </c>
      <c r="U471" s="10" t="n">
        <v>1050</v>
      </c>
      <c r="V471" s="10" t="n">
        <v>0</v>
      </c>
    </row>
    <row r="472" ht="20" customHeight="1">
      <c r="A472" s="5" t="n">
        <v>1201997</v>
      </c>
      <c r="B472" s="6" t="inlineStr">
        <is>
          <t>جلوآمپر کنترل ماشینی شده 207 دستی یکسان سازی</t>
        </is>
      </c>
      <c r="C472" s="6" t="inlineStr">
        <is>
          <t>12019970105</t>
        </is>
      </c>
      <c r="D472" s="6" t="inlineStr">
        <is>
          <t>1405/03/27</t>
        </is>
      </c>
      <c r="E472" s="9" t="n"/>
      <c r="F472" s="5" t="n">
        <v>741</v>
      </c>
      <c r="G472" s="5" t="n">
        <v>1101039</v>
      </c>
      <c r="H472" s="6" t="inlineStr">
        <is>
          <t>Resistor 1.5K,5%,1/10W</t>
        </is>
      </c>
      <c r="I472" s="6" t="inlineStr">
        <is>
          <t>عدد</t>
        </is>
      </c>
      <c r="J472" s="5" t="n">
        <v>3</v>
      </c>
      <c r="K472" s="5" t="n">
        <v>1</v>
      </c>
      <c r="L472" s="6" t="inlineStr">
        <is>
          <t>15</t>
        </is>
      </c>
      <c r="M472" s="5" t="n">
        <v>1</v>
      </c>
      <c r="N472" s="5" t="n">
        <v>50</v>
      </c>
      <c r="O472" s="5">
        <f>N472</f>
        <v>50</v>
      </c>
      <c r="P472" s="6" t="inlineStr">
        <is>
          <t>سهم درصد استفاده BOM</t>
        </is>
      </c>
      <c r="Q472" s="5">
        <f>SUMIFS('ورودی برنامه'!$D$4:$D$16,'ورودی برنامه'!$A$4:$A$16,A472,'ورودی برنامه'!$C$4:$C$16,C472)</f>
        <v>1050</v>
      </c>
      <c r="R472" s="5">
        <f>SUMIFS('ورودی برنامه'!$E$4:$E$16,'ورودی برنامه'!$A$4:$A$16,A472,'ورودی برنامه'!$C$4:$C$16,C472)</f>
        <v>0</v>
      </c>
      <c r="S472" s="5">
        <f>ROUND(Q472*J472/K472*O472/100,10)</f>
        <v>1575</v>
      </c>
      <c r="T472" s="5">
        <f>ROUND(R472*J472/K472*O472/100,10)</f>
        <v>0</v>
      </c>
      <c r="U472" s="5" t="n">
        <v>3150</v>
      </c>
      <c r="V472" s="5" t="n">
        <v>0</v>
      </c>
    </row>
    <row r="473" ht="20" customHeight="1">
      <c r="A473" s="10" t="n">
        <v>1201997</v>
      </c>
      <c r="B473" s="11" t="inlineStr">
        <is>
          <t>جلوآمپر کنترل ماشینی شده 207 دستی یکسان سازی</t>
        </is>
      </c>
      <c r="C473" s="11" t="inlineStr">
        <is>
          <t>12019970105</t>
        </is>
      </c>
      <c r="D473" s="11" t="inlineStr">
        <is>
          <t>1405/03/27</t>
        </is>
      </c>
      <c r="E473" s="13" t="n"/>
      <c r="F473" s="10" t="n">
        <v>839</v>
      </c>
      <c r="G473" s="10" t="n">
        <v>1101041</v>
      </c>
      <c r="H473" s="11" t="inlineStr">
        <is>
          <t>Resistor 2.2K,5%,1/10W</t>
        </is>
      </c>
      <c r="I473" s="11" t="inlineStr">
        <is>
          <t>عدد</t>
        </is>
      </c>
      <c r="J473" s="10" t="n">
        <v>2</v>
      </c>
      <c r="K473" s="10" t="n">
        <v>1</v>
      </c>
      <c r="L473" s="11" t="inlineStr">
        <is>
          <t>-</t>
        </is>
      </c>
      <c r="M473" s="13" t="n"/>
      <c r="N473" s="13" t="n"/>
      <c r="O473" s="10" t="n">
        <v>100</v>
      </c>
      <c r="P473" s="11" t="inlineStr">
        <is>
          <t>مصرف مستقیم</t>
        </is>
      </c>
      <c r="Q473" s="10">
        <f>SUMIFS('ورودی برنامه'!$D$4:$D$16,'ورودی برنامه'!$A$4:$A$16,A473,'ورودی برنامه'!$C$4:$C$16,C473)</f>
        <v>1050</v>
      </c>
      <c r="R473" s="10">
        <f>SUMIFS('ورودی برنامه'!$E$4:$E$16,'ورودی برنامه'!$A$4:$A$16,A473,'ورودی برنامه'!$C$4:$C$16,C473)</f>
        <v>0</v>
      </c>
      <c r="S473" s="10">
        <f>ROUND(Q473*J473/K473*O473/100,10)</f>
        <v>2100</v>
      </c>
      <c r="T473" s="10">
        <f>ROUND(R473*J473/K473*O473/100,10)</f>
        <v>0</v>
      </c>
      <c r="U473" s="10" t="n">
        <v>2100</v>
      </c>
      <c r="V473" s="10" t="n">
        <v>0</v>
      </c>
    </row>
    <row r="474" ht="20" customHeight="1">
      <c r="A474" s="5" t="n">
        <v>1201997</v>
      </c>
      <c r="B474" s="6" t="inlineStr">
        <is>
          <t>جلوآمپر کنترل ماشینی شده 207 دستی یکسان سازی</t>
        </is>
      </c>
      <c r="C474" s="6" t="inlineStr">
        <is>
          <t>12019970105</t>
        </is>
      </c>
      <c r="D474" s="6" t="inlineStr">
        <is>
          <t>1405/03/27</t>
        </is>
      </c>
      <c r="E474" s="9" t="n"/>
      <c r="F474" s="5" t="n">
        <v>877</v>
      </c>
      <c r="G474" s="5" t="n">
        <v>1101045</v>
      </c>
      <c r="H474" s="6" t="inlineStr">
        <is>
          <t>Resistor 5.6K,5%,1/10W</t>
        </is>
      </c>
      <c r="I474" s="6" t="inlineStr">
        <is>
          <t>عدد</t>
        </is>
      </c>
      <c r="J474" s="5" t="n">
        <v>1</v>
      </c>
      <c r="K474" s="5" t="n">
        <v>1</v>
      </c>
      <c r="L474" s="6" t="inlineStr">
        <is>
          <t>-</t>
        </is>
      </c>
      <c r="M474" s="9" t="n"/>
      <c r="N474" s="9" t="n"/>
      <c r="O474" s="5" t="n">
        <v>100</v>
      </c>
      <c r="P474" s="6" t="inlineStr">
        <is>
          <t>مصرف مستقیم</t>
        </is>
      </c>
      <c r="Q474" s="5">
        <f>SUMIFS('ورودی برنامه'!$D$4:$D$16,'ورودی برنامه'!$A$4:$A$16,A474,'ورودی برنامه'!$C$4:$C$16,C474)</f>
        <v>1050</v>
      </c>
      <c r="R474" s="5">
        <f>SUMIFS('ورودی برنامه'!$E$4:$E$16,'ورودی برنامه'!$A$4:$A$16,A474,'ورودی برنامه'!$C$4:$C$16,C474)</f>
        <v>0</v>
      </c>
      <c r="S474" s="5">
        <f>ROUND(Q474*J474/K474*O474/100,10)</f>
        <v>1050</v>
      </c>
      <c r="T474" s="5">
        <f>ROUND(R474*J474/K474*O474/100,10)</f>
        <v>0</v>
      </c>
      <c r="U474" s="5" t="n">
        <v>1050</v>
      </c>
      <c r="V474" s="5" t="n">
        <v>0</v>
      </c>
    </row>
    <row r="475" ht="20" customHeight="1">
      <c r="A475" s="10" t="n">
        <v>1201997</v>
      </c>
      <c r="B475" s="11" t="inlineStr">
        <is>
          <t>جلوآمپر کنترل ماشینی شده 207 دستی یکسان سازی</t>
        </is>
      </c>
      <c r="C475" s="11" t="inlineStr">
        <is>
          <t>12019970105</t>
        </is>
      </c>
      <c r="D475" s="11" t="inlineStr">
        <is>
          <t>1405/03/27</t>
        </is>
      </c>
      <c r="E475" s="13" t="n"/>
      <c r="F475" s="10" t="n">
        <v>2457</v>
      </c>
      <c r="G475" s="10" t="n">
        <v>1111053</v>
      </c>
      <c r="H475" s="11" t="inlineStr">
        <is>
          <t>IC  Microcontroller RL78 R5F10DSKLFB</t>
        </is>
      </c>
      <c r="I475" s="11" t="inlineStr">
        <is>
          <t>عدد(شمارشی)</t>
        </is>
      </c>
      <c r="J475" s="10" t="n">
        <v>1</v>
      </c>
      <c r="K475" s="10" t="n">
        <v>1</v>
      </c>
      <c r="L475" s="11" t="inlineStr">
        <is>
          <t>16</t>
        </is>
      </c>
      <c r="M475" s="10" t="n">
        <v>2</v>
      </c>
      <c r="N475" s="10" t="n">
        <v>33</v>
      </c>
      <c r="O475" s="10">
        <f>N475</f>
        <v>33</v>
      </c>
      <c r="P475" s="11" t="inlineStr">
        <is>
          <t>سهم درصد استفاده BOM</t>
        </is>
      </c>
      <c r="Q475" s="10">
        <f>SUMIFS('ورودی برنامه'!$D$4:$D$16,'ورودی برنامه'!$A$4:$A$16,A475,'ورودی برنامه'!$C$4:$C$16,C475)</f>
        <v>1050</v>
      </c>
      <c r="R475" s="10">
        <f>SUMIFS('ورودی برنامه'!$E$4:$E$16,'ورودی برنامه'!$A$4:$A$16,A475,'ورودی برنامه'!$C$4:$C$16,C475)</f>
        <v>0</v>
      </c>
      <c r="S475" s="10">
        <f>ROUND(Q475*J475/K475*O475/100,10)</f>
        <v>346.5</v>
      </c>
      <c r="T475" s="10">
        <f>ROUND(R475*J475/K475*O475/100,10)</f>
        <v>0</v>
      </c>
      <c r="U475" s="10" t="n">
        <v>0</v>
      </c>
      <c r="V475" s="10" t="n">
        <v>0</v>
      </c>
    </row>
    <row r="476" ht="20" customHeight="1">
      <c r="A476" s="5" t="n">
        <v>1201997</v>
      </c>
      <c r="B476" s="6" t="inlineStr">
        <is>
          <t>جلوآمپر کنترل ماشینی شده 207 دستی یکسان سازی</t>
        </is>
      </c>
      <c r="C476" s="6" t="inlineStr">
        <is>
          <t>12019970105</t>
        </is>
      </c>
      <c r="D476" s="6" t="inlineStr">
        <is>
          <t>1405/03/27</t>
        </is>
      </c>
      <c r="E476" s="9" t="n"/>
      <c r="F476" s="5" t="n">
        <v>2474</v>
      </c>
      <c r="G476" s="5" t="n">
        <v>1111054</v>
      </c>
      <c r="H476" s="6" t="inlineStr">
        <is>
          <t>IC Microcontroller RL78 R5F10DSLJFB</t>
        </is>
      </c>
      <c r="I476" s="6" t="inlineStr">
        <is>
          <t>عدد(شمارشی)</t>
        </is>
      </c>
      <c r="J476" s="5" t="n">
        <v>1</v>
      </c>
      <c r="K476" s="5" t="n">
        <v>1</v>
      </c>
      <c r="L476" s="6" t="inlineStr">
        <is>
          <t>16</t>
        </is>
      </c>
      <c r="M476" s="5" t="n">
        <v>3</v>
      </c>
      <c r="N476" s="5" t="n">
        <v>33</v>
      </c>
      <c r="O476" s="5">
        <f>N476</f>
        <v>33</v>
      </c>
      <c r="P476" s="6" t="inlineStr">
        <is>
          <t>سهم درصد استفاده BOM</t>
        </is>
      </c>
      <c r="Q476" s="5">
        <f>SUMIFS('ورودی برنامه'!$D$4:$D$16,'ورودی برنامه'!$A$4:$A$16,A476,'ورودی برنامه'!$C$4:$C$16,C476)</f>
        <v>1050</v>
      </c>
      <c r="R476" s="5">
        <f>SUMIFS('ورودی برنامه'!$E$4:$E$16,'ورودی برنامه'!$A$4:$A$16,A476,'ورودی برنامه'!$C$4:$C$16,C476)</f>
        <v>0</v>
      </c>
      <c r="S476" s="5">
        <f>ROUND(Q476*J476/K476*O476/100,10)</f>
        <v>346.5</v>
      </c>
      <c r="T476" s="5">
        <f>ROUND(R476*J476/K476*O476/100,10)</f>
        <v>0</v>
      </c>
      <c r="U476" s="5" t="n">
        <v>0</v>
      </c>
      <c r="V476" s="5" t="n">
        <v>0</v>
      </c>
    </row>
    <row r="477" ht="20" customHeight="1">
      <c r="A477" s="10" t="n">
        <v>1201997</v>
      </c>
      <c r="B477" s="11" t="inlineStr">
        <is>
          <t>جلوآمپر کنترل ماشینی شده 207 دستی یکسان سازی</t>
        </is>
      </c>
      <c r="C477" s="11" t="inlineStr">
        <is>
          <t>12019970105</t>
        </is>
      </c>
      <c r="D477" s="11" t="inlineStr">
        <is>
          <t>1405/03/27</t>
        </is>
      </c>
      <c r="E477" s="13" t="n"/>
      <c r="F477" s="10" t="n">
        <v>2937</v>
      </c>
      <c r="G477" s="10" t="n">
        <v>1100101</v>
      </c>
      <c r="H477" s="11" t="inlineStr">
        <is>
          <t>PCB P7L MT INT</t>
        </is>
      </c>
      <c r="I477" s="11" t="inlineStr">
        <is>
          <t>عدد(شمارشی)</t>
        </is>
      </c>
      <c r="J477" s="10" t="n">
        <v>1</v>
      </c>
      <c r="K477" s="10" t="n">
        <v>1</v>
      </c>
      <c r="L477" s="11" t="inlineStr">
        <is>
          <t>-</t>
        </is>
      </c>
      <c r="M477" s="13" t="n"/>
      <c r="N477" s="13" t="n"/>
      <c r="O477" s="10" t="n">
        <v>100</v>
      </c>
      <c r="P477" s="11" t="inlineStr">
        <is>
          <t>مصرف مستقیم</t>
        </is>
      </c>
      <c r="Q477" s="10">
        <f>SUMIFS('ورودی برنامه'!$D$4:$D$16,'ورودی برنامه'!$A$4:$A$16,A477,'ورودی برنامه'!$C$4:$C$16,C477)</f>
        <v>1050</v>
      </c>
      <c r="R477" s="10">
        <f>SUMIFS('ورودی برنامه'!$E$4:$E$16,'ورودی برنامه'!$A$4:$A$16,A477,'ورودی برنامه'!$C$4:$C$16,C477)</f>
        <v>0</v>
      </c>
      <c r="S477" s="10">
        <f>ROUND(Q477*J477/K477*O477/100,10)</f>
        <v>1050</v>
      </c>
      <c r="T477" s="10">
        <f>ROUND(R477*J477/K477*O477/100,10)</f>
        <v>0</v>
      </c>
      <c r="U477" s="10" t="n">
        <v>1050</v>
      </c>
      <c r="V477" s="10" t="n">
        <v>0</v>
      </c>
    </row>
    <row r="478" ht="20" customHeight="1">
      <c r="A478" s="5" t="n">
        <v>1201997</v>
      </c>
      <c r="B478" s="6" t="inlineStr">
        <is>
          <t>جلوآمپر کنترل ماشینی شده 207 دستی یکسان سازی</t>
        </is>
      </c>
      <c r="C478" s="6" t="inlineStr">
        <is>
          <t>12019970105</t>
        </is>
      </c>
      <c r="D478" s="6" t="inlineStr">
        <is>
          <t>1405/03/27</t>
        </is>
      </c>
      <c r="E478" s="9" t="n"/>
      <c r="F478" s="5" t="n">
        <v>5879</v>
      </c>
      <c r="G478" s="5" t="n">
        <v>1110009</v>
      </c>
      <c r="H478" s="6" t="inlineStr">
        <is>
          <t>Capacitor 12P,50V,RF TYPE,5%</t>
        </is>
      </c>
      <c r="I478" s="6" t="inlineStr">
        <is>
          <t>عدد</t>
        </is>
      </c>
      <c r="J478" s="5" t="n">
        <v>2</v>
      </c>
      <c r="K478" s="5" t="n">
        <v>1</v>
      </c>
      <c r="L478" s="6" t="inlineStr">
        <is>
          <t>-</t>
        </is>
      </c>
      <c r="M478" s="9" t="n"/>
      <c r="N478" s="9" t="n"/>
      <c r="O478" s="5" t="n">
        <v>100</v>
      </c>
      <c r="P478" s="6" t="inlineStr">
        <is>
          <t>مصرف مستقیم</t>
        </is>
      </c>
      <c r="Q478" s="5">
        <f>SUMIFS('ورودی برنامه'!$D$4:$D$16,'ورودی برنامه'!$A$4:$A$16,A478,'ورودی برنامه'!$C$4:$C$16,C478)</f>
        <v>1050</v>
      </c>
      <c r="R478" s="5">
        <f>SUMIFS('ورودی برنامه'!$E$4:$E$16,'ورودی برنامه'!$A$4:$A$16,A478,'ورودی برنامه'!$C$4:$C$16,C478)</f>
        <v>0</v>
      </c>
      <c r="S478" s="5">
        <f>ROUND(Q478*J478/K478*O478/100,10)</f>
        <v>2100</v>
      </c>
      <c r="T478" s="5">
        <f>ROUND(R478*J478/K478*O478/100,10)</f>
        <v>0</v>
      </c>
      <c r="U478" s="5" t="n">
        <v>2100</v>
      </c>
      <c r="V478" s="5" t="n">
        <v>0</v>
      </c>
    </row>
    <row r="479" ht="20" customHeight="1">
      <c r="A479" s="10" t="n">
        <v>1201997</v>
      </c>
      <c r="B479" s="11" t="inlineStr">
        <is>
          <t>جلوآمپر کنترل ماشینی شده 207 دستی یکسان سازی</t>
        </is>
      </c>
      <c r="C479" s="11" t="inlineStr">
        <is>
          <t>12019970105</t>
        </is>
      </c>
      <c r="D479" s="11" t="inlineStr">
        <is>
          <t>1405/03/27</t>
        </is>
      </c>
      <c r="E479" s="13" t="n"/>
      <c r="F479" s="10" t="n">
        <v>6018</v>
      </c>
      <c r="G479" s="10" t="n">
        <v>1110303</v>
      </c>
      <c r="H479" s="11" t="inlineStr">
        <is>
          <t>Resistor 4.7K,5%,1/12W</t>
        </is>
      </c>
      <c r="I479" s="11" t="inlineStr">
        <is>
          <t>عدد</t>
        </is>
      </c>
      <c r="J479" s="10" t="n">
        <v>2</v>
      </c>
      <c r="K479" s="10" t="n">
        <v>1</v>
      </c>
      <c r="L479" s="11" t="inlineStr">
        <is>
          <t>7</t>
        </is>
      </c>
      <c r="M479" s="10" t="n">
        <v>1</v>
      </c>
      <c r="N479" s="10" t="n">
        <v>50</v>
      </c>
      <c r="O479" s="10">
        <f>N479</f>
        <v>50</v>
      </c>
      <c r="P479" s="11" t="inlineStr">
        <is>
          <t>سهم درصد استفاده BOM</t>
        </is>
      </c>
      <c r="Q479" s="10">
        <f>SUMIFS('ورودی برنامه'!$D$4:$D$16,'ورودی برنامه'!$A$4:$A$16,A479,'ورودی برنامه'!$C$4:$C$16,C479)</f>
        <v>1050</v>
      </c>
      <c r="R479" s="10">
        <f>SUMIFS('ورودی برنامه'!$E$4:$E$16,'ورودی برنامه'!$A$4:$A$16,A479,'ورودی برنامه'!$C$4:$C$16,C479)</f>
        <v>0</v>
      </c>
      <c r="S479" s="10">
        <f>ROUND(Q479*J479/K479*O479/100,10)</f>
        <v>1050</v>
      </c>
      <c r="T479" s="10">
        <f>ROUND(R479*J479/K479*O479/100,10)</f>
        <v>0</v>
      </c>
      <c r="U479" s="10" t="n">
        <v>2100</v>
      </c>
      <c r="V479" s="10" t="n">
        <v>0</v>
      </c>
    </row>
    <row r="480" ht="20" customHeight="1">
      <c r="A480" s="5" t="n">
        <v>1201997</v>
      </c>
      <c r="B480" s="6" t="inlineStr">
        <is>
          <t>جلوآمپر کنترل ماشینی شده 207 دستی یکسان سازی</t>
        </is>
      </c>
      <c r="C480" s="6" t="inlineStr">
        <is>
          <t>12019970105</t>
        </is>
      </c>
      <c r="D480" s="6" t="inlineStr">
        <is>
          <t>1405/03/27</t>
        </is>
      </c>
      <c r="E480" s="9" t="n"/>
      <c r="F480" s="5" t="n">
        <v>6335</v>
      </c>
      <c r="G480" s="5" t="n">
        <v>1110903</v>
      </c>
      <c r="H480" s="6" t="inlineStr">
        <is>
          <t>Diode 1N4007</t>
        </is>
      </c>
      <c r="I480" s="6" t="inlineStr">
        <is>
          <t>عدد</t>
        </is>
      </c>
      <c r="J480" s="5" t="n">
        <v>1</v>
      </c>
      <c r="K480" s="5" t="n">
        <v>1</v>
      </c>
      <c r="L480" s="6" t="inlineStr">
        <is>
          <t>2</t>
        </is>
      </c>
      <c r="M480" s="5" t="n">
        <v>1</v>
      </c>
      <c r="N480" s="5" t="n">
        <v>50</v>
      </c>
      <c r="O480" s="5">
        <f>N480</f>
        <v>50</v>
      </c>
      <c r="P480" s="6" t="inlineStr">
        <is>
          <t>سهم درصد استفاده BOM</t>
        </is>
      </c>
      <c r="Q480" s="5">
        <f>SUMIFS('ورودی برنامه'!$D$4:$D$16,'ورودی برنامه'!$A$4:$A$16,A480,'ورودی برنامه'!$C$4:$C$16,C480)</f>
        <v>1050</v>
      </c>
      <c r="R480" s="5">
        <f>SUMIFS('ورودی برنامه'!$E$4:$E$16,'ورودی برنامه'!$A$4:$A$16,A480,'ورودی برنامه'!$C$4:$C$16,C480)</f>
        <v>0</v>
      </c>
      <c r="S480" s="5">
        <f>ROUND(Q480*J480/K480*O480/100,10)</f>
        <v>525</v>
      </c>
      <c r="T480" s="5">
        <f>ROUND(R480*J480/K480*O480/100,10)</f>
        <v>0</v>
      </c>
      <c r="U480" s="5" t="n">
        <v>1050</v>
      </c>
      <c r="V480" s="5" t="n">
        <v>0</v>
      </c>
    </row>
    <row r="481" ht="20" customHeight="1">
      <c r="A481" s="10" t="n">
        <v>1201997</v>
      </c>
      <c r="B481" s="11" t="inlineStr">
        <is>
          <t>جلوآمپر کنترل ماشینی شده 207 دستی یکسان سازی</t>
        </is>
      </c>
      <c r="C481" s="11" t="inlineStr">
        <is>
          <t>12019970105</t>
        </is>
      </c>
      <c r="D481" s="11" t="inlineStr">
        <is>
          <t>1405/03/27</t>
        </is>
      </c>
      <c r="E481" s="13" t="n"/>
      <c r="F481" s="10" t="n">
        <v>7005</v>
      </c>
      <c r="G481" s="10" t="n">
        <v>1110293</v>
      </c>
      <c r="H481" s="11" t="inlineStr">
        <is>
          <t>Resistor 2.2K,1%,1/4W</t>
        </is>
      </c>
      <c r="I481" s="11" t="inlineStr">
        <is>
          <t>عدد</t>
        </is>
      </c>
      <c r="J481" s="10" t="n">
        <v>1</v>
      </c>
      <c r="K481" s="10" t="n">
        <v>1</v>
      </c>
      <c r="L481" s="11" t="inlineStr">
        <is>
          <t>9</t>
        </is>
      </c>
      <c r="M481" s="10" t="n">
        <v>2</v>
      </c>
      <c r="N481" s="10" t="n">
        <v>50</v>
      </c>
      <c r="O481" s="10">
        <f>N481</f>
        <v>50</v>
      </c>
      <c r="P481" s="11" t="inlineStr">
        <is>
          <t>سهم درصد استفاده BOM</t>
        </is>
      </c>
      <c r="Q481" s="10">
        <f>SUMIFS('ورودی برنامه'!$D$4:$D$16,'ورودی برنامه'!$A$4:$A$16,A481,'ورودی برنامه'!$C$4:$C$16,C481)</f>
        <v>1050</v>
      </c>
      <c r="R481" s="10">
        <f>SUMIFS('ورودی برنامه'!$E$4:$E$16,'ورودی برنامه'!$A$4:$A$16,A481,'ورودی برنامه'!$C$4:$C$16,C481)</f>
        <v>0</v>
      </c>
      <c r="S481" s="10">
        <f>ROUND(Q481*J481/K481*O481/100,10)</f>
        <v>525</v>
      </c>
      <c r="T481" s="10">
        <f>ROUND(R481*J481/K481*O481/100,10)</f>
        <v>0</v>
      </c>
      <c r="U481" s="10" t="n">
        <v>0</v>
      </c>
      <c r="V481" s="10" t="n">
        <v>0</v>
      </c>
    </row>
    <row r="482" ht="20" customHeight="1">
      <c r="A482" s="5" t="n">
        <v>1201997</v>
      </c>
      <c r="B482" s="6" t="inlineStr">
        <is>
          <t>جلوآمپر کنترل ماشینی شده 207 دستی یکسان سازی</t>
        </is>
      </c>
      <c r="C482" s="6" t="inlineStr">
        <is>
          <t>12019970105</t>
        </is>
      </c>
      <c r="D482" s="6" t="inlineStr">
        <is>
          <t>1405/03/27</t>
        </is>
      </c>
      <c r="E482" s="9" t="n"/>
      <c r="F482" s="5" t="n">
        <v>7086</v>
      </c>
      <c r="G482" s="5" t="n">
        <v>1110229</v>
      </c>
      <c r="H482" s="6" t="inlineStr">
        <is>
          <t>Resistor 680,5%,1/4W.</t>
        </is>
      </c>
      <c r="I482" s="6" t="inlineStr">
        <is>
          <t>عدد</t>
        </is>
      </c>
      <c r="J482" s="5" t="n">
        <v>21</v>
      </c>
      <c r="K482" s="5" t="n">
        <v>1</v>
      </c>
      <c r="L482" s="6" t="inlineStr">
        <is>
          <t>14</t>
        </is>
      </c>
      <c r="M482" s="5" t="n">
        <v>1</v>
      </c>
      <c r="N482" s="5" t="n">
        <v>50</v>
      </c>
      <c r="O482" s="5">
        <f>N482</f>
        <v>50</v>
      </c>
      <c r="P482" s="6" t="inlineStr">
        <is>
          <t>سهم درصد استفاده BOM</t>
        </is>
      </c>
      <c r="Q482" s="5">
        <f>SUMIFS('ورودی برنامه'!$D$4:$D$16,'ورودی برنامه'!$A$4:$A$16,A482,'ورودی برنامه'!$C$4:$C$16,C482)</f>
        <v>1050</v>
      </c>
      <c r="R482" s="5">
        <f>SUMIFS('ورودی برنامه'!$E$4:$E$16,'ورودی برنامه'!$A$4:$A$16,A482,'ورودی برنامه'!$C$4:$C$16,C482)</f>
        <v>0</v>
      </c>
      <c r="S482" s="5">
        <f>ROUND(Q482*J482/K482*O482/100,10)</f>
        <v>11025</v>
      </c>
      <c r="T482" s="5">
        <f>ROUND(R482*J482/K482*O482/100,10)</f>
        <v>0</v>
      </c>
      <c r="U482" s="5" t="n">
        <v>22050</v>
      </c>
      <c r="V482" s="5" t="n">
        <v>0</v>
      </c>
    </row>
    <row r="483" ht="20" customHeight="1">
      <c r="A483" s="10" t="n">
        <v>1201997</v>
      </c>
      <c r="B483" s="11" t="inlineStr">
        <is>
          <t>جلوآمپر کنترل ماشینی شده 207 دستی یکسان سازی</t>
        </is>
      </c>
      <c r="C483" s="11" t="inlineStr">
        <is>
          <t>12019970105</t>
        </is>
      </c>
      <c r="D483" s="11" t="inlineStr">
        <is>
          <t>1405/03/27</t>
        </is>
      </c>
      <c r="E483" s="13" t="n"/>
      <c r="F483" s="10" t="n">
        <v>7629</v>
      </c>
      <c r="G483" s="10" t="n">
        <v>1110223</v>
      </c>
      <c r="H483" s="11" t="inlineStr">
        <is>
          <t>Resistor 470,5%,1/4w.</t>
        </is>
      </c>
      <c r="I483" s="11" t="inlineStr">
        <is>
          <t>عدد</t>
        </is>
      </c>
      <c r="J483" s="10" t="n">
        <v>1</v>
      </c>
      <c r="K483" s="10" t="n">
        <v>1</v>
      </c>
      <c r="L483" s="11" t="inlineStr">
        <is>
          <t>13</t>
        </is>
      </c>
      <c r="M483" s="10" t="n">
        <v>1</v>
      </c>
      <c r="N483" s="10" t="n">
        <v>50</v>
      </c>
      <c r="O483" s="10">
        <f>N483</f>
        <v>50</v>
      </c>
      <c r="P483" s="11" t="inlineStr">
        <is>
          <t>سهم درصد استفاده BOM</t>
        </is>
      </c>
      <c r="Q483" s="10">
        <f>SUMIFS('ورودی برنامه'!$D$4:$D$16,'ورودی برنامه'!$A$4:$A$16,A483,'ورودی برنامه'!$C$4:$C$16,C483)</f>
        <v>1050</v>
      </c>
      <c r="R483" s="10">
        <f>SUMIFS('ورودی برنامه'!$E$4:$E$16,'ورودی برنامه'!$A$4:$A$16,A483,'ورودی برنامه'!$C$4:$C$16,C483)</f>
        <v>0</v>
      </c>
      <c r="S483" s="10">
        <f>ROUND(Q483*J483/K483*O483/100,10)</f>
        <v>525</v>
      </c>
      <c r="T483" s="10">
        <f>ROUND(R483*J483/K483*O483/100,10)</f>
        <v>0</v>
      </c>
      <c r="U483" s="10" t="n">
        <v>1050</v>
      </c>
      <c r="V483" s="10" t="n">
        <v>0</v>
      </c>
    </row>
    <row r="484" ht="20" customHeight="1">
      <c r="A484" s="5" t="n">
        <v>1201997</v>
      </c>
      <c r="B484" s="6" t="inlineStr">
        <is>
          <t>جلوآمپر کنترل ماشینی شده 207 دستی یکسان سازی</t>
        </is>
      </c>
      <c r="C484" s="6" t="inlineStr">
        <is>
          <t>12019970105</t>
        </is>
      </c>
      <c r="D484" s="6" t="inlineStr">
        <is>
          <t>1405/03/27</t>
        </is>
      </c>
      <c r="E484" s="9" t="n"/>
      <c r="F484" s="5" t="n">
        <v>7993</v>
      </c>
      <c r="G484" s="5" t="n">
        <v>1110857</v>
      </c>
      <c r="H484" s="6" t="inlineStr">
        <is>
          <t>LED-Red-RQDA31TZ-WPE</t>
        </is>
      </c>
      <c r="I484" s="6" t="inlineStr">
        <is>
          <t>عدد</t>
        </is>
      </c>
      <c r="J484" s="5" t="n">
        <v>16</v>
      </c>
      <c r="K484" s="5" t="n">
        <v>1</v>
      </c>
      <c r="L484" s="6" t="inlineStr">
        <is>
          <t>3</t>
        </is>
      </c>
      <c r="M484" s="5" t="n">
        <v>1</v>
      </c>
      <c r="N484" s="5" t="n">
        <v>50</v>
      </c>
      <c r="O484" s="5">
        <f>N484</f>
        <v>50</v>
      </c>
      <c r="P484" s="6" t="inlineStr">
        <is>
          <t>سهم درصد استفاده BOM</t>
        </is>
      </c>
      <c r="Q484" s="5">
        <f>SUMIFS('ورودی برنامه'!$D$4:$D$16,'ورودی برنامه'!$A$4:$A$16,A484,'ورودی برنامه'!$C$4:$C$16,C484)</f>
        <v>1050</v>
      </c>
      <c r="R484" s="5">
        <f>SUMIFS('ورودی برنامه'!$E$4:$E$16,'ورودی برنامه'!$A$4:$A$16,A484,'ورودی برنامه'!$C$4:$C$16,C484)</f>
        <v>0</v>
      </c>
      <c r="S484" s="5">
        <f>ROUND(Q484*J484/K484*O484/100,10)</f>
        <v>8400</v>
      </c>
      <c r="T484" s="5">
        <f>ROUND(R484*J484/K484*O484/100,10)</f>
        <v>0</v>
      </c>
      <c r="U484" s="5" t="n">
        <v>16800</v>
      </c>
      <c r="V484" s="5" t="n">
        <v>0</v>
      </c>
    </row>
    <row r="485" ht="20" customHeight="1">
      <c r="A485" s="10" t="n">
        <v>1201997</v>
      </c>
      <c r="B485" s="11" t="inlineStr">
        <is>
          <t>جلوآمپر کنترل ماشینی شده 207 دستی یکسان سازی</t>
        </is>
      </c>
      <c r="C485" s="11" t="inlineStr">
        <is>
          <t>12019970105</t>
        </is>
      </c>
      <c r="D485" s="11" t="inlineStr">
        <is>
          <t>1405/03/27</t>
        </is>
      </c>
      <c r="E485" s="13" t="n"/>
      <c r="F485" s="10" t="n">
        <v>8281</v>
      </c>
      <c r="G485" s="10" t="n">
        <v>1110851</v>
      </c>
      <c r="H485" s="11" t="inlineStr">
        <is>
          <t>LED Yellow-LY T68B-T2V1-26</t>
        </is>
      </c>
      <c r="I485" s="11" t="inlineStr">
        <is>
          <t>عدد</t>
        </is>
      </c>
      <c r="J485" s="10" t="n">
        <v>11</v>
      </c>
      <c r="K485" s="10" t="n">
        <v>1</v>
      </c>
      <c r="L485" s="11" t="inlineStr">
        <is>
          <t>-</t>
        </is>
      </c>
      <c r="M485" s="13" t="n"/>
      <c r="N485" s="13" t="n"/>
      <c r="O485" s="10" t="n">
        <v>100</v>
      </c>
      <c r="P485" s="11" t="inlineStr">
        <is>
          <t>مصرف مستقیم</t>
        </is>
      </c>
      <c r="Q485" s="10">
        <f>SUMIFS('ورودی برنامه'!$D$4:$D$16,'ورودی برنامه'!$A$4:$A$16,A485,'ورودی برنامه'!$C$4:$C$16,C485)</f>
        <v>1050</v>
      </c>
      <c r="R485" s="10">
        <f>SUMIFS('ورودی برنامه'!$E$4:$E$16,'ورودی برنامه'!$A$4:$A$16,A485,'ورودی برنامه'!$C$4:$C$16,C485)</f>
        <v>0</v>
      </c>
      <c r="S485" s="10">
        <f>ROUND(Q485*J485/K485*O485/100,10)</f>
        <v>11550</v>
      </c>
      <c r="T485" s="10">
        <f>ROUND(R485*J485/K485*O485/100,10)</f>
        <v>0</v>
      </c>
      <c r="U485" s="10" t="n">
        <v>11550</v>
      </c>
      <c r="V485" s="10" t="n">
        <v>0</v>
      </c>
    </row>
    <row r="486" ht="20" customHeight="1">
      <c r="A486" s="5" t="n">
        <v>1201997</v>
      </c>
      <c r="B486" s="6" t="inlineStr">
        <is>
          <t>جلوآمپر کنترل ماشینی شده 207 دستی یکسان سازی</t>
        </is>
      </c>
      <c r="C486" s="6" t="inlineStr">
        <is>
          <t>12019970105</t>
        </is>
      </c>
      <c r="D486" s="6" t="inlineStr">
        <is>
          <t>1405/03/27</t>
        </is>
      </c>
      <c r="E486" s="9" t="n"/>
      <c r="F486" s="5" t="n">
        <v>8288</v>
      </c>
      <c r="G486" s="5" t="n">
        <v>1110853</v>
      </c>
      <c r="H486" s="6" t="inlineStr">
        <is>
          <t>LED Green-LP T67K-F1G2-25</t>
        </is>
      </c>
      <c r="I486" s="6" t="inlineStr">
        <is>
          <t>عدد</t>
        </is>
      </c>
      <c r="J486" s="5" t="n">
        <v>2</v>
      </c>
      <c r="K486" s="5" t="n">
        <v>1</v>
      </c>
      <c r="L486" s="6" t="inlineStr">
        <is>
          <t>-</t>
        </is>
      </c>
      <c r="M486" s="9" t="n"/>
      <c r="N486" s="9" t="n"/>
      <c r="O486" s="5" t="n">
        <v>100</v>
      </c>
      <c r="P486" s="6" t="inlineStr">
        <is>
          <t>مصرف مستقیم</t>
        </is>
      </c>
      <c r="Q486" s="5">
        <f>SUMIFS('ورودی برنامه'!$D$4:$D$16,'ورودی برنامه'!$A$4:$A$16,A486,'ورودی برنامه'!$C$4:$C$16,C486)</f>
        <v>1050</v>
      </c>
      <c r="R486" s="5">
        <f>SUMIFS('ورودی برنامه'!$E$4:$E$16,'ورودی برنامه'!$A$4:$A$16,A486,'ورودی برنامه'!$C$4:$C$16,C486)</f>
        <v>0</v>
      </c>
      <c r="S486" s="5">
        <f>ROUND(Q486*J486/K486*O486/100,10)</f>
        <v>2100</v>
      </c>
      <c r="T486" s="5">
        <f>ROUND(R486*J486/K486*O486/100,10)</f>
        <v>0</v>
      </c>
      <c r="U486" s="5" t="n">
        <v>2100</v>
      </c>
      <c r="V486" s="5" t="n">
        <v>0</v>
      </c>
    </row>
    <row r="487" ht="20" customHeight="1">
      <c r="A487" s="10" t="n">
        <v>1201997</v>
      </c>
      <c r="B487" s="11" t="inlineStr">
        <is>
          <t>جلوآمپر کنترل ماشینی شده 207 دستی یکسان سازی</t>
        </is>
      </c>
      <c r="C487" s="11" t="inlineStr">
        <is>
          <t>12019970105</t>
        </is>
      </c>
      <c r="D487" s="11" t="inlineStr">
        <is>
          <t>1405/03/27</t>
        </is>
      </c>
      <c r="E487" s="13" t="n"/>
      <c r="F487" s="10" t="n">
        <v>8450</v>
      </c>
      <c r="G487" s="10" t="n">
        <v>1110858</v>
      </c>
      <c r="H487" s="11" t="inlineStr">
        <is>
          <t>LED Blue-LB T676-K2L2-1</t>
        </is>
      </c>
      <c r="I487" s="11" t="inlineStr">
        <is>
          <t>عدد</t>
        </is>
      </c>
      <c r="J487" s="10" t="n">
        <v>1</v>
      </c>
      <c r="K487" s="10" t="n">
        <v>1</v>
      </c>
      <c r="L487" s="11" t="inlineStr">
        <is>
          <t>4</t>
        </is>
      </c>
      <c r="M487" s="10" t="n">
        <v>1</v>
      </c>
      <c r="N487" s="10" t="n">
        <v>34</v>
      </c>
      <c r="O487" s="10">
        <f>N487</f>
        <v>34</v>
      </c>
      <c r="P487" s="11" t="inlineStr">
        <is>
          <t>سهم درصد استفاده BOM</t>
        </is>
      </c>
      <c r="Q487" s="10">
        <f>SUMIFS('ورودی برنامه'!$D$4:$D$16,'ورودی برنامه'!$A$4:$A$16,A487,'ورودی برنامه'!$C$4:$C$16,C487)</f>
        <v>1050</v>
      </c>
      <c r="R487" s="10">
        <f>SUMIFS('ورودی برنامه'!$E$4:$E$16,'ورودی برنامه'!$A$4:$A$16,A487,'ورودی برنامه'!$C$4:$C$16,C487)</f>
        <v>0</v>
      </c>
      <c r="S487" s="10">
        <f>ROUND(Q487*J487/K487*O487/100,10)</f>
        <v>357</v>
      </c>
      <c r="T487" s="10">
        <f>ROUND(R487*J487/K487*O487/100,10)</f>
        <v>0</v>
      </c>
      <c r="U487" s="10" t="n">
        <v>1050</v>
      </c>
      <c r="V487" s="10" t="n">
        <v>0</v>
      </c>
    </row>
    <row r="488" ht="20" customHeight="1">
      <c r="A488" s="5" t="n">
        <v>1201997</v>
      </c>
      <c r="B488" s="6" t="inlineStr">
        <is>
          <t>جلوآمپر کنترل ماشینی شده 207 دستی یکسان سازی</t>
        </is>
      </c>
      <c r="C488" s="6" t="inlineStr">
        <is>
          <t>12019970105</t>
        </is>
      </c>
      <c r="D488" s="6" t="inlineStr">
        <is>
          <t>1405/03/27</t>
        </is>
      </c>
      <c r="E488" s="9" t="n"/>
      <c r="F488" s="5" t="n">
        <v>9256</v>
      </c>
      <c r="G488" s="5" t="n">
        <v>1110281</v>
      </c>
      <c r="H488" s="6" t="inlineStr">
        <is>
          <t>Resistor 1K,1%,1/4W</t>
        </is>
      </c>
      <c r="I488" s="6" t="inlineStr">
        <is>
          <t>عدد</t>
        </is>
      </c>
      <c r="J488" s="5" t="n">
        <v>4</v>
      </c>
      <c r="K488" s="5" t="n">
        <v>1</v>
      </c>
      <c r="L488" s="6" t="inlineStr">
        <is>
          <t>12</t>
        </is>
      </c>
      <c r="M488" s="5" t="n">
        <v>2</v>
      </c>
      <c r="N488" s="5" t="n">
        <v>50</v>
      </c>
      <c r="O488" s="5">
        <f>N488</f>
        <v>50</v>
      </c>
      <c r="P488" s="6" t="inlineStr">
        <is>
          <t>سهم درصد استفاده BOM</t>
        </is>
      </c>
      <c r="Q488" s="5">
        <f>SUMIFS('ورودی برنامه'!$D$4:$D$16,'ورودی برنامه'!$A$4:$A$16,A488,'ورودی برنامه'!$C$4:$C$16,C488)</f>
        <v>1050</v>
      </c>
      <c r="R488" s="5">
        <f>SUMIFS('ورودی برنامه'!$E$4:$E$16,'ورودی برنامه'!$A$4:$A$16,A488,'ورودی برنامه'!$C$4:$C$16,C488)</f>
        <v>0</v>
      </c>
      <c r="S488" s="5">
        <f>ROUND(Q488*J488/K488*O488/100,10)</f>
        <v>2100</v>
      </c>
      <c r="T488" s="5">
        <f>ROUND(R488*J488/K488*O488/100,10)</f>
        <v>0</v>
      </c>
      <c r="U488" s="5" t="n">
        <v>0</v>
      </c>
      <c r="V488" s="5" t="n">
        <v>0</v>
      </c>
    </row>
    <row r="489" ht="20" customHeight="1">
      <c r="A489" s="10" t="n">
        <v>1201997</v>
      </c>
      <c r="B489" s="11" t="inlineStr">
        <is>
          <t>جلوآمپر کنترل ماشینی شده 207 دستی یکسان سازی</t>
        </is>
      </c>
      <c r="C489" s="11" t="inlineStr">
        <is>
          <t>12019970105</t>
        </is>
      </c>
      <c r="D489" s="11" t="inlineStr">
        <is>
          <t>1405/03/27</t>
        </is>
      </c>
      <c r="E489" s="13" t="n"/>
      <c r="F489" s="10" t="n">
        <v>9308</v>
      </c>
      <c r="G489" s="10" t="n">
        <v>1110075</v>
      </c>
      <c r="H489" s="11" t="inlineStr">
        <is>
          <t>Capacitor 10N,50V,X7R,10%</t>
        </is>
      </c>
      <c r="I489" s="11" t="inlineStr">
        <is>
          <t>عدد</t>
        </is>
      </c>
      <c r="J489" s="10" t="n">
        <v>8</v>
      </c>
      <c r="K489" s="10" t="n">
        <v>1</v>
      </c>
      <c r="L489" s="11" t="inlineStr">
        <is>
          <t>-</t>
        </is>
      </c>
      <c r="M489" s="13" t="n"/>
      <c r="N489" s="13" t="n"/>
      <c r="O489" s="10" t="n">
        <v>100</v>
      </c>
      <c r="P489" s="11" t="inlineStr">
        <is>
          <t>مصرف مستقیم</t>
        </is>
      </c>
      <c r="Q489" s="10">
        <f>SUMIFS('ورودی برنامه'!$D$4:$D$16,'ورودی برنامه'!$A$4:$A$16,A489,'ورودی برنامه'!$C$4:$C$16,C489)</f>
        <v>1050</v>
      </c>
      <c r="R489" s="10">
        <f>SUMIFS('ورودی برنامه'!$E$4:$E$16,'ورودی برنامه'!$A$4:$A$16,A489,'ورودی برنامه'!$C$4:$C$16,C489)</f>
        <v>0</v>
      </c>
      <c r="S489" s="10">
        <f>ROUND(Q489*J489/K489*O489/100,10)</f>
        <v>8400</v>
      </c>
      <c r="T489" s="10">
        <f>ROUND(R489*J489/K489*O489/100,10)</f>
        <v>0</v>
      </c>
      <c r="U489" s="10" t="n">
        <v>8400</v>
      </c>
      <c r="V489" s="10" t="n">
        <v>0</v>
      </c>
    </row>
    <row r="490" ht="20" customHeight="1">
      <c r="A490" s="5" t="n">
        <v>1201997</v>
      </c>
      <c r="B490" s="6" t="inlineStr">
        <is>
          <t>جلوآمپر کنترل ماشینی شده 207 دستی یکسان سازی</t>
        </is>
      </c>
      <c r="C490" s="6" t="inlineStr">
        <is>
          <t>12019970105</t>
        </is>
      </c>
      <c r="D490" s="6" t="inlineStr">
        <is>
          <t>1405/03/27</t>
        </is>
      </c>
      <c r="E490" s="9" t="n"/>
      <c r="F490" s="5" t="n">
        <v>9638</v>
      </c>
      <c r="G490" s="5" t="n">
        <v>1110960</v>
      </c>
      <c r="H490" s="6" t="inlineStr">
        <is>
          <t>LED Red LS</t>
        </is>
      </c>
      <c r="I490" s="6" t="inlineStr">
        <is>
          <t>عدد</t>
        </is>
      </c>
      <c r="J490" s="5" t="n">
        <v>16</v>
      </c>
      <c r="K490" s="5" t="n">
        <v>1</v>
      </c>
      <c r="L490" s="6" t="inlineStr">
        <is>
          <t>3</t>
        </is>
      </c>
      <c r="M490" s="5" t="n">
        <v>2</v>
      </c>
      <c r="N490" s="5" t="n">
        <v>50</v>
      </c>
      <c r="O490" s="5">
        <f>N490</f>
        <v>50</v>
      </c>
      <c r="P490" s="6" t="inlineStr">
        <is>
          <t>سهم درصد استفاده BOM</t>
        </is>
      </c>
      <c r="Q490" s="5">
        <f>SUMIFS('ورودی برنامه'!$D$4:$D$16,'ورودی برنامه'!$A$4:$A$16,A490,'ورودی برنامه'!$C$4:$C$16,C490)</f>
        <v>1050</v>
      </c>
      <c r="R490" s="5">
        <f>SUMIFS('ورودی برنامه'!$E$4:$E$16,'ورودی برنامه'!$A$4:$A$16,A490,'ورودی برنامه'!$C$4:$C$16,C490)</f>
        <v>0</v>
      </c>
      <c r="S490" s="5">
        <f>ROUND(Q490*J490/K490*O490/100,10)</f>
        <v>8400</v>
      </c>
      <c r="T490" s="5">
        <f>ROUND(R490*J490/K490*O490/100,10)</f>
        <v>0</v>
      </c>
      <c r="U490" s="5" t="n">
        <v>0</v>
      </c>
      <c r="V490" s="5" t="n">
        <v>0</v>
      </c>
    </row>
    <row r="491" ht="20" customHeight="1">
      <c r="A491" s="10" t="n">
        <v>1201997</v>
      </c>
      <c r="B491" s="11" t="inlineStr">
        <is>
          <t>جلوآمپر کنترل ماشینی شده 207 دستی یکسان سازی</t>
        </is>
      </c>
      <c r="C491" s="11" t="inlineStr">
        <is>
          <t>12019970105</t>
        </is>
      </c>
      <c r="D491" s="11" t="inlineStr">
        <is>
          <t>1405/03/27</t>
        </is>
      </c>
      <c r="E491" s="13" t="n"/>
      <c r="F491" s="10" t="n">
        <v>9837</v>
      </c>
      <c r="G491" s="10" t="n">
        <v>1110860</v>
      </c>
      <c r="H491" s="11" t="inlineStr">
        <is>
          <t>LED True Green</t>
        </is>
      </c>
      <c r="I491" s="11" t="inlineStr">
        <is>
          <t>عدد</t>
        </is>
      </c>
      <c r="J491" s="10" t="n">
        <v>3</v>
      </c>
      <c r="K491" s="10" t="n">
        <v>1</v>
      </c>
      <c r="L491" s="11" t="inlineStr">
        <is>
          <t>5</t>
        </is>
      </c>
      <c r="M491" s="10" t="n">
        <v>1</v>
      </c>
      <c r="N491" s="10" t="n">
        <v>50</v>
      </c>
      <c r="O491" s="10">
        <f>N491</f>
        <v>50</v>
      </c>
      <c r="P491" s="11" t="inlineStr">
        <is>
          <t>سهم درصد استفاده BOM</t>
        </is>
      </c>
      <c r="Q491" s="10">
        <f>SUMIFS('ورودی برنامه'!$D$4:$D$16,'ورودی برنامه'!$A$4:$A$16,A491,'ورودی برنامه'!$C$4:$C$16,C491)</f>
        <v>1050</v>
      </c>
      <c r="R491" s="10">
        <f>SUMIFS('ورودی برنامه'!$E$4:$E$16,'ورودی برنامه'!$A$4:$A$16,A491,'ورودی برنامه'!$C$4:$C$16,C491)</f>
        <v>0</v>
      </c>
      <c r="S491" s="10">
        <f>ROUND(Q491*J491/K491*O491/100,10)</f>
        <v>1575</v>
      </c>
      <c r="T491" s="10">
        <f>ROUND(R491*J491/K491*O491/100,10)</f>
        <v>0</v>
      </c>
      <c r="U491" s="10" t="n">
        <v>3150</v>
      </c>
      <c r="V491" s="10" t="n">
        <v>0</v>
      </c>
    </row>
    <row r="492" ht="20" customHeight="1">
      <c r="A492" s="5" t="n">
        <v>1201997</v>
      </c>
      <c r="B492" s="6" t="inlineStr">
        <is>
          <t>جلوآمپر کنترل ماشینی شده 207 دستی یکسان سازی</t>
        </is>
      </c>
      <c r="C492" s="6" t="inlineStr">
        <is>
          <t>12019970105</t>
        </is>
      </c>
      <c r="D492" s="6" t="inlineStr">
        <is>
          <t>1405/03/27</t>
        </is>
      </c>
      <c r="E492" s="9" t="n"/>
      <c r="F492" s="5" t="n">
        <v>10856</v>
      </c>
      <c r="G492" s="5" t="n">
        <v>1110226</v>
      </c>
      <c r="H492" s="6" t="inlineStr">
        <is>
          <t>Resistor 560,5%,1/4w</t>
        </is>
      </c>
      <c r="I492" s="6" t="inlineStr">
        <is>
          <t>عدد</t>
        </is>
      </c>
      <c r="J492" s="5" t="n">
        <v>9</v>
      </c>
      <c r="K492" s="5" t="n">
        <v>1</v>
      </c>
      <c r="L492" s="6" t="inlineStr">
        <is>
          <t>6</t>
        </is>
      </c>
      <c r="M492" s="5" t="n">
        <v>1</v>
      </c>
      <c r="N492" s="5" t="n">
        <v>50</v>
      </c>
      <c r="O492" s="5">
        <f>N492</f>
        <v>50</v>
      </c>
      <c r="P492" s="6" t="inlineStr">
        <is>
          <t>سهم درصد استفاده BOM</t>
        </is>
      </c>
      <c r="Q492" s="5">
        <f>SUMIFS('ورودی برنامه'!$D$4:$D$16,'ورودی برنامه'!$A$4:$A$16,A492,'ورودی برنامه'!$C$4:$C$16,C492)</f>
        <v>1050</v>
      </c>
      <c r="R492" s="5">
        <f>SUMIFS('ورودی برنامه'!$E$4:$E$16,'ورودی برنامه'!$A$4:$A$16,A492,'ورودی برنامه'!$C$4:$C$16,C492)</f>
        <v>0</v>
      </c>
      <c r="S492" s="5">
        <f>ROUND(Q492*J492/K492*O492/100,10)</f>
        <v>4725</v>
      </c>
      <c r="T492" s="5">
        <f>ROUND(R492*J492/K492*O492/100,10)</f>
        <v>0</v>
      </c>
      <c r="U492" s="5" t="n">
        <v>9450</v>
      </c>
      <c r="V492" s="5" t="n">
        <v>0</v>
      </c>
    </row>
    <row r="493" ht="20" customHeight="1">
      <c r="A493" s="10" t="n">
        <v>1201997</v>
      </c>
      <c r="B493" s="11" t="inlineStr">
        <is>
          <t>جلوآمپر کنترل ماشینی شده 207 دستی یکسان سازی</t>
        </is>
      </c>
      <c r="C493" s="11" t="inlineStr">
        <is>
          <t>12019970105</t>
        </is>
      </c>
      <c r="D493" s="11" t="inlineStr">
        <is>
          <t>1405/03/27</t>
        </is>
      </c>
      <c r="E493" s="13" t="n"/>
      <c r="F493" s="10" t="n">
        <v>11032</v>
      </c>
      <c r="G493" s="10" t="n">
        <v>1110232</v>
      </c>
      <c r="H493" s="11" t="inlineStr">
        <is>
          <t>Resistor 820,5%,1/4W</t>
        </is>
      </c>
      <c r="I493" s="11" t="inlineStr">
        <is>
          <t>عدد</t>
        </is>
      </c>
      <c r="J493" s="10" t="n">
        <v>5</v>
      </c>
      <c r="K493" s="10" t="n">
        <v>1</v>
      </c>
      <c r="L493" s="11" t="inlineStr">
        <is>
          <t>-</t>
        </is>
      </c>
      <c r="M493" s="13" t="n"/>
      <c r="N493" s="13" t="n"/>
      <c r="O493" s="10" t="n">
        <v>100</v>
      </c>
      <c r="P493" s="11" t="inlineStr">
        <is>
          <t>مصرف مستقیم</t>
        </is>
      </c>
      <c r="Q493" s="10">
        <f>SUMIFS('ورودی برنامه'!$D$4:$D$16,'ورودی برنامه'!$A$4:$A$16,A493,'ورودی برنامه'!$C$4:$C$16,C493)</f>
        <v>1050</v>
      </c>
      <c r="R493" s="10">
        <f>SUMIFS('ورودی برنامه'!$E$4:$E$16,'ورودی برنامه'!$A$4:$A$16,A493,'ورودی برنامه'!$C$4:$C$16,C493)</f>
        <v>0</v>
      </c>
      <c r="S493" s="10">
        <f>ROUND(Q493*J493/K493*O493/100,10)</f>
        <v>5250</v>
      </c>
      <c r="T493" s="10">
        <f>ROUND(R493*J493/K493*O493/100,10)</f>
        <v>0</v>
      </c>
      <c r="U493" s="10" t="n">
        <v>5250</v>
      </c>
      <c r="V493" s="10" t="n">
        <v>0</v>
      </c>
    </row>
    <row r="494" ht="20" customHeight="1">
      <c r="A494" s="5" t="n">
        <v>1201997</v>
      </c>
      <c r="B494" s="6" t="inlineStr">
        <is>
          <t>جلوآمپر کنترل ماشینی شده 207 دستی یکسان سازی</t>
        </is>
      </c>
      <c r="C494" s="6" t="inlineStr">
        <is>
          <t>12019970105</t>
        </is>
      </c>
      <c r="D494" s="6" t="inlineStr">
        <is>
          <t>1405/03/27</t>
        </is>
      </c>
      <c r="E494" s="9" t="n"/>
      <c r="F494" s="5" t="n">
        <v>11519</v>
      </c>
      <c r="G494" s="5" t="n">
        <v>1110294</v>
      </c>
      <c r="H494" s="6" t="inlineStr">
        <is>
          <t>Resistor 2.2K,5%,1/4W.</t>
        </is>
      </c>
      <c r="I494" s="6" t="inlineStr">
        <is>
          <t>عدد</t>
        </is>
      </c>
      <c r="J494" s="5" t="n">
        <v>1</v>
      </c>
      <c r="K494" s="5" t="n">
        <v>1</v>
      </c>
      <c r="L494" s="6" t="inlineStr">
        <is>
          <t>9</t>
        </is>
      </c>
      <c r="M494" s="5" t="n">
        <v>1</v>
      </c>
      <c r="N494" s="5" t="n">
        <v>50</v>
      </c>
      <c r="O494" s="5">
        <f>N494</f>
        <v>50</v>
      </c>
      <c r="P494" s="6" t="inlineStr">
        <is>
          <t>سهم درصد استفاده BOM</t>
        </is>
      </c>
      <c r="Q494" s="5">
        <f>SUMIFS('ورودی برنامه'!$D$4:$D$16,'ورودی برنامه'!$A$4:$A$16,A494,'ورودی برنامه'!$C$4:$C$16,C494)</f>
        <v>1050</v>
      </c>
      <c r="R494" s="5">
        <f>SUMIFS('ورودی برنامه'!$E$4:$E$16,'ورودی برنامه'!$A$4:$A$16,A494,'ورودی برنامه'!$C$4:$C$16,C494)</f>
        <v>0</v>
      </c>
      <c r="S494" s="5">
        <f>ROUND(Q494*J494/K494*O494/100,10)</f>
        <v>525</v>
      </c>
      <c r="T494" s="5">
        <f>ROUND(R494*J494/K494*O494/100,10)</f>
        <v>0</v>
      </c>
      <c r="U494" s="5" t="n">
        <v>1050</v>
      </c>
      <c r="V494" s="5" t="n">
        <v>0</v>
      </c>
    </row>
    <row r="495" ht="20" customHeight="1">
      <c r="A495" s="10" t="n">
        <v>1201997</v>
      </c>
      <c r="B495" s="11" t="inlineStr">
        <is>
          <t>جلوآمپر کنترل ماشینی شده 207 دستی یکسان سازی</t>
        </is>
      </c>
      <c r="C495" s="11" t="inlineStr">
        <is>
          <t>12019970105</t>
        </is>
      </c>
      <c r="D495" s="11" t="inlineStr">
        <is>
          <t>1405/03/27</t>
        </is>
      </c>
      <c r="E495" s="13" t="n"/>
      <c r="F495" s="10" t="n">
        <v>12762</v>
      </c>
      <c r="G495" s="10" t="n">
        <v>1110600</v>
      </c>
      <c r="H495" s="11" t="inlineStr">
        <is>
          <t>Transistor BC817-40</t>
        </is>
      </c>
      <c r="I495" s="11" t="inlineStr">
        <is>
          <t>عدد</t>
        </is>
      </c>
      <c r="J495" s="10" t="n">
        <v>2</v>
      </c>
      <c r="K495" s="10" t="n">
        <v>1</v>
      </c>
      <c r="L495" s="11" t="inlineStr">
        <is>
          <t>-</t>
        </is>
      </c>
      <c r="M495" s="13" t="n"/>
      <c r="N495" s="13" t="n"/>
      <c r="O495" s="10" t="n">
        <v>100</v>
      </c>
      <c r="P495" s="11" t="inlineStr">
        <is>
          <t>مصرف مستقیم</t>
        </is>
      </c>
      <c r="Q495" s="10">
        <f>SUMIFS('ورودی برنامه'!$D$4:$D$16,'ورودی برنامه'!$A$4:$A$16,A495,'ورودی برنامه'!$C$4:$C$16,C495)</f>
        <v>1050</v>
      </c>
      <c r="R495" s="10">
        <f>SUMIFS('ورودی برنامه'!$E$4:$E$16,'ورودی برنامه'!$A$4:$A$16,A495,'ورودی برنامه'!$C$4:$C$16,C495)</f>
        <v>0</v>
      </c>
      <c r="S495" s="10">
        <f>ROUND(Q495*J495/K495*O495/100,10)</f>
        <v>2100</v>
      </c>
      <c r="T495" s="10">
        <f>ROUND(R495*J495/K495*O495/100,10)</f>
        <v>0</v>
      </c>
      <c r="U495" s="10" t="n">
        <v>2100</v>
      </c>
      <c r="V495" s="10" t="n">
        <v>0</v>
      </c>
    </row>
    <row r="496" ht="20" customHeight="1">
      <c r="A496" s="5" t="n">
        <v>1201997</v>
      </c>
      <c r="B496" s="6" t="inlineStr">
        <is>
          <t>جلوآمپر کنترل ماشینی شده 207 دستی یکسان سازی</t>
        </is>
      </c>
      <c r="C496" s="6" t="inlineStr">
        <is>
          <t>12019970105</t>
        </is>
      </c>
      <c r="D496" s="6" t="inlineStr">
        <is>
          <t>1405/03/27</t>
        </is>
      </c>
      <c r="E496" s="9" t="n"/>
      <c r="F496" s="5" t="n">
        <v>13197</v>
      </c>
      <c r="G496" s="5" t="n">
        <v>1110902</v>
      </c>
      <c r="H496" s="6" t="inlineStr">
        <is>
          <t>Diode 1N4004 SMT</t>
        </is>
      </c>
      <c r="I496" s="6" t="inlineStr">
        <is>
          <t>عدد</t>
        </is>
      </c>
      <c r="J496" s="5" t="n">
        <v>1</v>
      </c>
      <c r="K496" s="5" t="n">
        <v>1</v>
      </c>
      <c r="L496" s="6" t="inlineStr">
        <is>
          <t>2</t>
        </is>
      </c>
      <c r="M496" s="5" t="n">
        <v>2</v>
      </c>
      <c r="N496" s="5" t="n">
        <v>50</v>
      </c>
      <c r="O496" s="5">
        <f>N496</f>
        <v>50</v>
      </c>
      <c r="P496" s="6" t="inlineStr">
        <is>
          <t>سهم درصد استفاده BOM</t>
        </is>
      </c>
      <c r="Q496" s="5">
        <f>SUMIFS('ورودی برنامه'!$D$4:$D$16,'ورودی برنامه'!$A$4:$A$16,A496,'ورودی برنامه'!$C$4:$C$16,C496)</f>
        <v>1050</v>
      </c>
      <c r="R496" s="5">
        <f>SUMIFS('ورودی برنامه'!$E$4:$E$16,'ورودی برنامه'!$A$4:$A$16,A496,'ورودی برنامه'!$C$4:$C$16,C496)</f>
        <v>0</v>
      </c>
      <c r="S496" s="5">
        <f>ROUND(Q496*J496/K496*O496/100,10)</f>
        <v>525</v>
      </c>
      <c r="T496" s="5">
        <f>ROUND(R496*J496/K496*O496/100,10)</f>
        <v>0</v>
      </c>
      <c r="U496" s="5" t="n">
        <v>0</v>
      </c>
      <c r="V496" s="5" t="n">
        <v>0</v>
      </c>
    </row>
    <row r="497" ht="20" customHeight="1">
      <c r="A497" s="10" t="n">
        <v>1201997</v>
      </c>
      <c r="B497" s="11" t="inlineStr">
        <is>
          <t>جلوآمپر کنترل ماشینی شده 207 دستی یکسان سازی</t>
        </is>
      </c>
      <c r="C497" s="11" t="inlineStr">
        <is>
          <t>12019970105</t>
        </is>
      </c>
      <c r="D497" s="11" t="inlineStr">
        <is>
          <t>1405/03/27</t>
        </is>
      </c>
      <c r="E497" s="13" t="n"/>
      <c r="F497" s="10" t="n">
        <v>14728</v>
      </c>
      <c r="G497" s="10" t="n">
        <v>1110242</v>
      </c>
      <c r="H497" s="11" t="inlineStr">
        <is>
          <t>Resistor 680,1%,1/4W.</t>
        </is>
      </c>
      <c r="I497" s="11" t="inlineStr">
        <is>
          <t>عدد</t>
        </is>
      </c>
      <c r="J497" s="10" t="n">
        <v>21</v>
      </c>
      <c r="K497" s="10" t="n">
        <v>1</v>
      </c>
      <c r="L497" s="11" t="inlineStr">
        <is>
          <t>14</t>
        </is>
      </c>
      <c r="M497" s="10" t="n">
        <v>2</v>
      </c>
      <c r="N497" s="10" t="n">
        <v>50</v>
      </c>
      <c r="O497" s="10">
        <f>N497</f>
        <v>50</v>
      </c>
      <c r="P497" s="11" t="inlineStr">
        <is>
          <t>سهم درصد استفاده BOM</t>
        </is>
      </c>
      <c r="Q497" s="10">
        <f>SUMIFS('ورودی برنامه'!$D$4:$D$16,'ورودی برنامه'!$A$4:$A$16,A497,'ورودی برنامه'!$C$4:$C$16,C497)</f>
        <v>1050</v>
      </c>
      <c r="R497" s="10">
        <f>SUMIFS('ورودی برنامه'!$E$4:$E$16,'ورودی برنامه'!$A$4:$A$16,A497,'ورودی برنامه'!$C$4:$C$16,C497)</f>
        <v>0</v>
      </c>
      <c r="S497" s="10">
        <f>ROUND(Q497*J497/K497*O497/100,10)</f>
        <v>11025</v>
      </c>
      <c r="T497" s="10">
        <f>ROUND(R497*J497/K497*O497/100,10)</f>
        <v>0</v>
      </c>
      <c r="U497" s="10" t="n">
        <v>0</v>
      </c>
      <c r="V497" s="10" t="n">
        <v>0</v>
      </c>
    </row>
    <row r="498" ht="20" customHeight="1">
      <c r="A498" s="5" t="n">
        <v>1201997</v>
      </c>
      <c r="B498" s="6" t="inlineStr">
        <is>
          <t>جلوآمپر کنترل ماشینی شده 207 دستی یکسان سازی</t>
        </is>
      </c>
      <c r="C498" s="6" t="inlineStr">
        <is>
          <t>12019970105</t>
        </is>
      </c>
      <c r="D498" s="6" t="inlineStr">
        <is>
          <t>1405/03/27</t>
        </is>
      </c>
      <c r="E498" s="9" t="n"/>
      <c r="F498" s="5" t="n">
        <v>14845</v>
      </c>
      <c r="G498" s="5" t="n">
        <v>1110245</v>
      </c>
      <c r="H498" s="6" t="inlineStr">
        <is>
          <t>Resistor 470,1%,1/4w</t>
        </is>
      </c>
      <c r="I498" s="6" t="inlineStr">
        <is>
          <t>عدد</t>
        </is>
      </c>
      <c r="J498" s="5" t="n">
        <v>1</v>
      </c>
      <c r="K498" s="5" t="n">
        <v>1</v>
      </c>
      <c r="L498" s="6" t="inlineStr">
        <is>
          <t>13</t>
        </is>
      </c>
      <c r="M498" s="5" t="n">
        <v>2</v>
      </c>
      <c r="N498" s="5" t="n">
        <v>50</v>
      </c>
      <c r="O498" s="5">
        <f>N498</f>
        <v>50</v>
      </c>
      <c r="P498" s="6" t="inlineStr">
        <is>
          <t>سهم درصد استفاده BOM</t>
        </is>
      </c>
      <c r="Q498" s="5">
        <f>SUMIFS('ورودی برنامه'!$D$4:$D$16,'ورودی برنامه'!$A$4:$A$16,A498,'ورودی برنامه'!$C$4:$C$16,C498)</f>
        <v>1050</v>
      </c>
      <c r="R498" s="5">
        <f>SUMIFS('ورودی برنامه'!$E$4:$E$16,'ورودی برنامه'!$A$4:$A$16,A498,'ورودی برنامه'!$C$4:$C$16,C498)</f>
        <v>0</v>
      </c>
      <c r="S498" s="5">
        <f>ROUND(Q498*J498/K498*O498/100,10)</f>
        <v>525</v>
      </c>
      <c r="T498" s="5">
        <f>ROUND(R498*J498/K498*O498/100,10)</f>
        <v>0</v>
      </c>
      <c r="U498" s="5" t="n">
        <v>0</v>
      </c>
      <c r="V498" s="5" t="n">
        <v>0</v>
      </c>
    </row>
    <row r="499" ht="20" customHeight="1">
      <c r="A499" s="10" t="n">
        <v>1201997</v>
      </c>
      <c r="B499" s="11" t="inlineStr">
        <is>
          <t>جلوآمپر کنترل ماشینی شده 207 دستی یکسان سازی</t>
        </is>
      </c>
      <c r="C499" s="11" t="inlineStr">
        <is>
          <t>12019970105</t>
        </is>
      </c>
      <c r="D499" s="11" t="inlineStr">
        <is>
          <t>1405/03/27</t>
        </is>
      </c>
      <c r="E499" s="13" t="n"/>
      <c r="F499" s="10" t="n">
        <v>15108</v>
      </c>
      <c r="G499" s="10" t="n">
        <v>1110247</v>
      </c>
      <c r="H499" s="11" t="inlineStr">
        <is>
          <t>Resistor 560,1%,1/4w</t>
        </is>
      </c>
      <c r="I499" s="11" t="inlineStr">
        <is>
          <t>عدد</t>
        </is>
      </c>
      <c r="J499" s="10" t="n">
        <v>9</v>
      </c>
      <c r="K499" s="10" t="n">
        <v>1</v>
      </c>
      <c r="L499" s="11" t="inlineStr">
        <is>
          <t>6</t>
        </is>
      </c>
      <c r="M499" s="10" t="n">
        <v>2</v>
      </c>
      <c r="N499" s="10" t="n">
        <v>50</v>
      </c>
      <c r="O499" s="10">
        <f>N499</f>
        <v>50</v>
      </c>
      <c r="P499" s="11" t="inlineStr">
        <is>
          <t>سهم درصد استفاده BOM</t>
        </is>
      </c>
      <c r="Q499" s="10">
        <f>SUMIFS('ورودی برنامه'!$D$4:$D$16,'ورودی برنامه'!$A$4:$A$16,A499,'ورودی برنامه'!$C$4:$C$16,C499)</f>
        <v>1050</v>
      </c>
      <c r="R499" s="10">
        <f>SUMIFS('ورودی برنامه'!$E$4:$E$16,'ورودی برنامه'!$A$4:$A$16,A499,'ورودی برنامه'!$C$4:$C$16,C499)</f>
        <v>0</v>
      </c>
      <c r="S499" s="10">
        <f>ROUND(Q499*J499/K499*O499/100,10)</f>
        <v>4725</v>
      </c>
      <c r="T499" s="10">
        <f>ROUND(R499*J499/K499*O499/100,10)</f>
        <v>0</v>
      </c>
      <c r="U499" s="10" t="n">
        <v>0</v>
      </c>
      <c r="V499" s="10" t="n">
        <v>0</v>
      </c>
    </row>
    <row r="500" ht="20" customHeight="1">
      <c r="A500" s="5" t="n">
        <v>1201997</v>
      </c>
      <c r="B500" s="6" t="inlineStr">
        <is>
          <t>جلوآمپر کنترل ماشینی شده 207 دستی یکسان سازی</t>
        </is>
      </c>
      <c r="C500" s="6" t="inlineStr">
        <is>
          <t>12019970105</t>
        </is>
      </c>
      <c r="D500" s="6" t="inlineStr">
        <is>
          <t>1405/03/27</t>
        </is>
      </c>
      <c r="E500" s="9" t="n"/>
      <c r="F500" s="5" t="n">
        <v>15351</v>
      </c>
      <c r="G500" s="5" t="n">
        <v>1110401</v>
      </c>
      <c r="H500" s="6" t="inlineStr">
        <is>
          <t>IC ULQ2003D1013TRY</t>
        </is>
      </c>
      <c r="I500" s="6" t="inlineStr">
        <is>
          <t>عدد</t>
        </is>
      </c>
      <c r="J500" s="5" t="n">
        <v>4</v>
      </c>
      <c r="K500" s="5" t="n">
        <v>1</v>
      </c>
      <c r="L500" s="6" t="inlineStr">
        <is>
          <t>-</t>
        </is>
      </c>
      <c r="M500" s="9" t="n"/>
      <c r="N500" s="9" t="n"/>
      <c r="O500" s="5" t="n">
        <v>100</v>
      </c>
      <c r="P500" s="6" t="inlineStr">
        <is>
          <t>مصرف مستقیم</t>
        </is>
      </c>
      <c r="Q500" s="5">
        <f>SUMIFS('ورودی برنامه'!$D$4:$D$16,'ورودی برنامه'!$A$4:$A$16,A500,'ورودی برنامه'!$C$4:$C$16,C500)</f>
        <v>1050</v>
      </c>
      <c r="R500" s="5">
        <f>SUMIFS('ورودی برنامه'!$E$4:$E$16,'ورودی برنامه'!$A$4:$A$16,A500,'ورودی برنامه'!$C$4:$C$16,C500)</f>
        <v>0</v>
      </c>
      <c r="S500" s="5">
        <f>ROUND(Q500*J500/K500*O500/100,10)</f>
        <v>4200</v>
      </c>
      <c r="T500" s="5">
        <f>ROUND(R500*J500/K500*O500/100,10)</f>
        <v>0</v>
      </c>
      <c r="U500" s="5" t="n">
        <v>4200</v>
      </c>
      <c r="V500" s="5" t="n">
        <v>0</v>
      </c>
    </row>
    <row r="501" ht="20" customHeight="1">
      <c r="A501" s="10" t="n">
        <v>1201997</v>
      </c>
      <c r="B501" s="11" t="inlineStr">
        <is>
          <t>جلوآمپر کنترل ماشینی شده 207 دستی یکسان سازی</t>
        </is>
      </c>
      <c r="C501" s="11" t="inlineStr">
        <is>
          <t>12019970105</t>
        </is>
      </c>
      <c r="D501" s="11" t="inlineStr">
        <is>
          <t>1405/03/27</t>
        </is>
      </c>
      <c r="E501" s="13" t="n"/>
      <c r="F501" s="10" t="n">
        <v>15832</v>
      </c>
      <c r="G501" s="10" t="n">
        <v>1110337</v>
      </c>
      <c r="H501" s="11" t="inlineStr">
        <is>
          <t>Resistor 22K,5%,1/12W</t>
        </is>
      </c>
      <c r="I501" s="11" t="inlineStr">
        <is>
          <t>عدد</t>
        </is>
      </c>
      <c r="J501" s="10" t="n">
        <v>2</v>
      </c>
      <c r="K501" s="10" t="n">
        <v>1</v>
      </c>
      <c r="L501" s="11" t="inlineStr">
        <is>
          <t>10</t>
        </is>
      </c>
      <c r="M501" s="10" t="n">
        <v>1</v>
      </c>
      <c r="N501" s="10" t="n">
        <v>50</v>
      </c>
      <c r="O501" s="10">
        <f>N501</f>
        <v>50</v>
      </c>
      <c r="P501" s="11" t="inlineStr">
        <is>
          <t>سهم درصد استفاده BOM</t>
        </is>
      </c>
      <c r="Q501" s="10">
        <f>SUMIFS('ورودی برنامه'!$D$4:$D$16,'ورودی برنامه'!$A$4:$A$16,A501,'ورودی برنامه'!$C$4:$C$16,C501)</f>
        <v>1050</v>
      </c>
      <c r="R501" s="10">
        <f>SUMIFS('ورودی برنامه'!$E$4:$E$16,'ورودی برنامه'!$A$4:$A$16,A501,'ورودی برنامه'!$C$4:$C$16,C501)</f>
        <v>0</v>
      </c>
      <c r="S501" s="10">
        <f>ROUND(Q501*J501/K501*O501/100,10)</f>
        <v>1050</v>
      </c>
      <c r="T501" s="10">
        <f>ROUND(R501*J501/K501*O501/100,10)</f>
        <v>0</v>
      </c>
      <c r="U501" s="10" t="n">
        <v>2100</v>
      </c>
      <c r="V501" s="10" t="n">
        <v>0</v>
      </c>
    </row>
    <row r="502" ht="20" customHeight="1">
      <c r="A502" s="5" t="n">
        <v>1201997</v>
      </c>
      <c r="B502" s="6" t="inlineStr">
        <is>
          <t>جلوآمپر کنترل ماشینی شده 207 دستی یکسان سازی</t>
        </is>
      </c>
      <c r="C502" s="6" t="inlineStr">
        <is>
          <t>12019970105</t>
        </is>
      </c>
      <c r="D502" s="6" t="inlineStr">
        <is>
          <t>1405/03/27</t>
        </is>
      </c>
      <c r="E502" s="9" t="n"/>
      <c r="F502" s="5" t="n">
        <v>16853</v>
      </c>
      <c r="G502" s="5" t="n">
        <v>1110859</v>
      </c>
      <c r="H502" s="6" t="inlineStr">
        <is>
          <t>LED ORANGE WPE</t>
        </is>
      </c>
      <c r="I502" s="6" t="inlineStr">
        <is>
          <t>عدد</t>
        </is>
      </c>
      <c r="J502" s="5" t="n">
        <v>14</v>
      </c>
      <c r="K502" s="5" t="n">
        <v>1</v>
      </c>
      <c r="L502" s="6" t="inlineStr">
        <is>
          <t>-</t>
        </is>
      </c>
      <c r="M502" s="9" t="n"/>
      <c r="N502" s="9" t="n"/>
      <c r="O502" s="5" t="n">
        <v>100</v>
      </c>
      <c r="P502" s="6" t="inlineStr">
        <is>
          <t>مصرف مستقیم</t>
        </is>
      </c>
      <c r="Q502" s="5">
        <f>SUMIFS('ورودی برنامه'!$D$4:$D$16,'ورودی برنامه'!$A$4:$A$16,A502,'ورودی برنامه'!$C$4:$C$16,C502)</f>
        <v>1050</v>
      </c>
      <c r="R502" s="5">
        <f>SUMIFS('ورودی برنامه'!$E$4:$E$16,'ورودی برنامه'!$A$4:$A$16,A502,'ورودی برنامه'!$C$4:$C$16,C502)</f>
        <v>0</v>
      </c>
      <c r="S502" s="5">
        <f>ROUND(Q502*J502/K502*O502/100,10)</f>
        <v>14700</v>
      </c>
      <c r="T502" s="5">
        <f>ROUND(R502*J502/K502*O502/100,10)</f>
        <v>0</v>
      </c>
      <c r="U502" s="5" t="n">
        <v>14700</v>
      </c>
      <c r="V502" s="5" t="n">
        <v>0</v>
      </c>
    </row>
    <row r="503" ht="20" customHeight="1">
      <c r="A503" s="10" t="n">
        <v>1201997</v>
      </c>
      <c r="B503" s="11" t="inlineStr">
        <is>
          <t>جلوآمپر کنترل ماشینی شده 207 دستی یکسان سازی</t>
        </is>
      </c>
      <c r="C503" s="11" t="inlineStr">
        <is>
          <t>12019970105</t>
        </is>
      </c>
      <c r="D503" s="11" t="inlineStr">
        <is>
          <t>1405/03/27</t>
        </is>
      </c>
      <c r="E503" s="13" t="n"/>
      <c r="F503" s="10" t="n">
        <v>17277</v>
      </c>
      <c r="G503" s="10" t="n">
        <v>1110630</v>
      </c>
      <c r="H503" s="11" t="inlineStr">
        <is>
          <t>ESD Protection</t>
        </is>
      </c>
      <c r="I503" s="11" t="inlineStr">
        <is>
          <t>عدد</t>
        </is>
      </c>
      <c r="J503" s="10" t="n">
        <v>1</v>
      </c>
      <c r="K503" s="10" t="n">
        <v>1</v>
      </c>
      <c r="L503" s="11" t="inlineStr">
        <is>
          <t>-</t>
        </is>
      </c>
      <c r="M503" s="13" t="n"/>
      <c r="N503" s="13" t="n"/>
      <c r="O503" s="10" t="n">
        <v>100</v>
      </c>
      <c r="P503" s="11" t="inlineStr">
        <is>
          <t>مصرف مستقیم</t>
        </is>
      </c>
      <c r="Q503" s="10">
        <f>SUMIFS('ورودی برنامه'!$D$4:$D$16,'ورودی برنامه'!$A$4:$A$16,A503,'ورودی برنامه'!$C$4:$C$16,C503)</f>
        <v>1050</v>
      </c>
      <c r="R503" s="10">
        <f>SUMIFS('ورودی برنامه'!$E$4:$E$16,'ورودی برنامه'!$A$4:$A$16,A503,'ورودی برنامه'!$C$4:$C$16,C503)</f>
        <v>0</v>
      </c>
      <c r="S503" s="10">
        <f>ROUND(Q503*J503/K503*O503/100,10)</f>
        <v>1050</v>
      </c>
      <c r="T503" s="10">
        <f>ROUND(R503*J503/K503*O503/100,10)</f>
        <v>0</v>
      </c>
      <c r="U503" s="10" t="n">
        <v>1050</v>
      </c>
      <c r="V503" s="10" t="n">
        <v>0</v>
      </c>
    </row>
    <row r="504" ht="20" customHeight="1">
      <c r="A504" s="5" t="n">
        <v>1201997</v>
      </c>
      <c r="B504" s="6" t="inlineStr">
        <is>
          <t>جلوآمپر کنترل ماشینی شده 207 دستی یکسان سازی</t>
        </is>
      </c>
      <c r="C504" s="6" t="inlineStr">
        <is>
          <t>12019970105</t>
        </is>
      </c>
      <c r="D504" s="6" t="inlineStr">
        <is>
          <t>1405/03/27</t>
        </is>
      </c>
      <c r="E504" s="9" t="n"/>
      <c r="F504" s="5" t="n">
        <v>17592</v>
      </c>
      <c r="G504" s="5" t="n">
        <v>1110456</v>
      </c>
      <c r="H504" s="6" t="inlineStr">
        <is>
          <t>IC CAN Transceiver TJA1055T</t>
        </is>
      </c>
      <c r="I504" s="6" t="inlineStr">
        <is>
          <t>عدد</t>
        </is>
      </c>
      <c r="J504" s="5" t="n">
        <v>1</v>
      </c>
      <c r="K504" s="5" t="n">
        <v>1</v>
      </c>
      <c r="L504" s="6" t="inlineStr">
        <is>
          <t>-</t>
        </is>
      </c>
      <c r="M504" s="9" t="n"/>
      <c r="N504" s="9" t="n"/>
      <c r="O504" s="5" t="n">
        <v>100</v>
      </c>
      <c r="P504" s="6" t="inlineStr">
        <is>
          <t>مصرف مستقیم</t>
        </is>
      </c>
      <c r="Q504" s="5">
        <f>SUMIFS('ورودی برنامه'!$D$4:$D$16,'ورودی برنامه'!$A$4:$A$16,A504,'ورودی برنامه'!$C$4:$C$16,C504)</f>
        <v>1050</v>
      </c>
      <c r="R504" s="5">
        <f>SUMIFS('ورودی برنامه'!$E$4:$E$16,'ورودی برنامه'!$A$4:$A$16,A504,'ورودی برنامه'!$C$4:$C$16,C504)</f>
        <v>0</v>
      </c>
      <c r="S504" s="5">
        <f>ROUND(Q504*J504/K504*O504/100,10)</f>
        <v>1050</v>
      </c>
      <c r="T504" s="5">
        <f>ROUND(R504*J504/K504*O504/100,10)</f>
        <v>0</v>
      </c>
      <c r="U504" s="5" t="n">
        <v>1050</v>
      </c>
      <c r="V504" s="5" t="n">
        <v>0</v>
      </c>
    </row>
    <row r="505" ht="20" customHeight="1">
      <c r="A505" s="10" t="n">
        <v>1201997</v>
      </c>
      <c r="B505" s="11" t="inlineStr">
        <is>
          <t>جلوآمپر کنترل ماشینی شده 207 دستی یکسان سازی</t>
        </is>
      </c>
      <c r="C505" s="11" t="inlineStr">
        <is>
          <t>12019970105</t>
        </is>
      </c>
      <c r="D505" s="11" t="inlineStr">
        <is>
          <t>1405/03/27</t>
        </is>
      </c>
      <c r="E505" s="13" t="n"/>
      <c r="F505" s="10" t="n">
        <v>18109</v>
      </c>
      <c r="G505" s="10" t="n">
        <v>1110465</v>
      </c>
      <c r="H505" s="11" t="inlineStr">
        <is>
          <t>IC NCV4275ADT50RKG</t>
        </is>
      </c>
      <c r="I505" s="11" t="inlineStr">
        <is>
          <t>عدد</t>
        </is>
      </c>
      <c r="J505" s="10" t="n">
        <v>1</v>
      </c>
      <c r="K505" s="10" t="n">
        <v>1</v>
      </c>
      <c r="L505" s="11" t="inlineStr">
        <is>
          <t>17</t>
        </is>
      </c>
      <c r="M505" s="10" t="n">
        <v>2</v>
      </c>
      <c r="N505" s="10" t="n">
        <v>50</v>
      </c>
      <c r="O505" s="10">
        <f>N505</f>
        <v>50</v>
      </c>
      <c r="P505" s="11" t="inlineStr">
        <is>
          <t>سهم درصد استفاده BOM</t>
        </is>
      </c>
      <c r="Q505" s="10">
        <f>SUMIFS('ورودی برنامه'!$D$4:$D$16,'ورودی برنامه'!$A$4:$A$16,A505,'ورودی برنامه'!$C$4:$C$16,C505)</f>
        <v>1050</v>
      </c>
      <c r="R505" s="10">
        <f>SUMIFS('ورودی برنامه'!$E$4:$E$16,'ورودی برنامه'!$A$4:$A$16,A505,'ورودی برنامه'!$C$4:$C$16,C505)</f>
        <v>0</v>
      </c>
      <c r="S505" s="10">
        <f>ROUND(Q505*J505/K505*O505/100,10)</f>
        <v>525</v>
      </c>
      <c r="T505" s="10">
        <f>ROUND(R505*J505/K505*O505/100,10)</f>
        <v>0</v>
      </c>
      <c r="U505" s="10" t="n">
        <v>0</v>
      </c>
      <c r="V505" s="10" t="n">
        <v>0</v>
      </c>
    </row>
    <row r="506" ht="20" customHeight="1">
      <c r="A506" s="5" t="n">
        <v>1201997</v>
      </c>
      <c r="B506" s="6" t="inlineStr">
        <is>
          <t>جلوآمپر کنترل ماشینی شده 207 دستی یکسان سازی</t>
        </is>
      </c>
      <c r="C506" s="6" t="inlineStr">
        <is>
          <t>12019970105</t>
        </is>
      </c>
      <c r="D506" s="6" t="inlineStr">
        <is>
          <t>1405/03/27</t>
        </is>
      </c>
      <c r="E506" s="9" t="n"/>
      <c r="F506" s="5" t="n">
        <v>18521</v>
      </c>
      <c r="G506" s="5" t="n">
        <v>1110913</v>
      </c>
      <c r="H506" s="6" t="inlineStr">
        <is>
          <t>Diode BAV99LT1</t>
        </is>
      </c>
      <c r="I506" s="6" t="inlineStr">
        <is>
          <t>عدد</t>
        </is>
      </c>
      <c r="J506" s="5" t="n">
        <v>4</v>
      </c>
      <c r="K506" s="5" t="n">
        <v>1</v>
      </c>
      <c r="L506" s="6" t="inlineStr">
        <is>
          <t>-</t>
        </is>
      </c>
      <c r="M506" s="9" t="n"/>
      <c r="N506" s="9" t="n"/>
      <c r="O506" s="5" t="n">
        <v>100</v>
      </c>
      <c r="P506" s="6" t="inlineStr">
        <is>
          <t>مصرف مستقیم</t>
        </is>
      </c>
      <c r="Q506" s="5">
        <f>SUMIFS('ورودی برنامه'!$D$4:$D$16,'ورودی برنامه'!$A$4:$A$16,A506,'ورودی برنامه'!$C$4:$C$16,C506)</f>
        <v>1050</v>
      </c>
      <c r="R506" s="5">
        <f>SUMIFS('ورودی برنامه'!$E$4:$E$16,'ورودی برنامه'!$A$4:$A$16,A506,'ورودی برنامه'!$C$4:$C$16,C506)</f>
        <v>0</v>
      </c>
      <c r="S506" s="5">
        <f>ROUND(Q506*J506/K506*O506/100,10)</f>
        <v>4200</v>
      </c>
      <c r="T506" s="5">
        <f>ROUND(R506*J506/K506*O506/100,10)</f>
        <v>0</v>
      </c>
      <c r="U506" s="5" t="n">
        <v>4200</v>
      </c>
      <c r="V506" s="5" t="n">
        <v>0</v>
      </c>
    </row>
    <row r="507" ht="20" customHeight="1">
      <c r="A507" s="10" t="n">
        <v>1201997</v>
      </c>
      <c r="B507" s="11" t="inlineStr">
        <is>
          <t>جلوآمپر کنترل ماشینی شده 207 دستی یکسان سازی</t>
        </is>
      </c>
      <c r="C507" s="11" t="inlineStr">
        <is>
          <t>12019970105</t>
        </is>
      </c>
      <c r="D507" s="11" t="inlineStr">
        <is>
          <t>1405/03/27</t>
        </is>
      </c>
      <c r="E507" s="13" t="n"/>
      <c r="F507" s="10" t="n">
        <v>19033</v>
      </c>
      <c r="G507" s="10" t="n">
        <v>1111002</v>
      </c>
      <c r="H507" s="11" t="inlineStr">
        <is>
          <t>Regulator 5V LOW DROP VOLTAGE</t>
        </is>
      </c>
      <c r="I507" s="11" t="inlineStr">
        <is>
          <t>عدد</t>
        </is>
      </c>
      <c r="J507" s="10" t="n">
        <v>1</v>
      </c>
      <c r="K507" s="10" t="n">
        <v>1</v>
      </c>
      <c r="L507" s="11" t="inlineStr">
        <is>
          <t>17</t>
        </is>
      </c>
      <c r="M507" s="10" t="n">
        <v>1</v>
      </c>
      <c r="N507" s="10" t="n">
        <v>50</v>
      </c>
      <c r="O507" s="10">
        <f>N507</f>
        <v>50</v>
      </c>
      <c r="P507" s="11" t="inlineStr">
        <is>
          <t>سهم درصد استفاده BOM</t>
        </is>
      </c>
      <c r="Q507" s="10">
        <f>SUMIFS('ورودی برنامه'!$D$4:$D$16,'ورودی برنامه'!$A$4:$A$16,A507,'ورودی برنامه'!$C$4:$C$16,C507)</f>
        <v>1050</v>
      </c>
      <c r="R507" s="10">
        <f>SUMIFS('ورودی برنامه'!$E$4:$E$16,'ورودی برنامه'!$A$4:$A$16,A507,'ورودی برنامه'!$C$4:$C$16,C507)</f>
        <v>0</v>
      </c>
      <c r="S507" s="10">
        <f>ROUND(Q507*J507/K507*O507/100,10)</f>
        <v>525</v>
      </c>
      <c r="T507" s="10">
        <f>ROUND(R507*J507/K507*O507/100,10)</f>
        <v>0</v>
      </c>
      <c r="U507" s="10" t="n">
        <v>1050</v>
      </c>
      <c r="V507" s="10" t="n">
        <v>0</v>
      </c>
    </row>
    <row r="508" ht="20" customHeight="1">
      <c r="A508" s="5" t="n">
        <v>1201997</v>
      </c>
      <c r="B508" s="6" t="inlineStr">
        <is>
          <t>جلوآمپر کنترل ماشینی شده 207 دستی یکسان سازی</t>
        </is>
      </c>
      <c r="C508" s="6" t="inlineStr">
        <is>
          <t>12019970105</t>
        </is>
      </c>
      <c r="D508" s="6" t="inlineStr">
        <is>
          <t>1405/03/27</t>
        </is>
      </c>
      <c r="E508" s="9" t="n"/>
      <c r="F508" s="5" t="n">
        <v>19316</v>
      </c>
      <c r="G508" s="5" t="n">
        <v>1110951</v>
      </c>
      <c r="H508" s="6" t="inlineStr">
        <is>
          <t>Diode Supressor SMBJ28CA-TR</t>
        </is>
      </c>
      <c r="I508" s="6" t="inlineStr">
        <is>
          <t>عدد</t>
        </is>
      </c>
      <c r="J508" s="5" t="n">
        <v>1</v>
      </c>
      <c r="K508" s="5" t="n">
        <v>1</v>
      </c>
      <c r="L508" s="6" t="inlineStr">
        <is>
          <t>-</t>
        </is>
      </c>
      <c r="M508" s="9" t="n"/>
      <c r="N508" s="9" t="n"/>
      <c r="O508" s="5" t="n">
        <v>100</v>
      </c>
      <c r="P508" s="6" t="inlineStr">
        <is>
          <t>مصرف مستقیم</t>
        </is>
      </c>
      <c r="Q508" s="5">
        <f>SUMIFS('ورودی برنامه'!$D$4:$D$16,'ورودی برنامه'!$A$4:$A$16,A508,'ورودی برنامه'!$C$4:$C$16,C508)</f>
        <v>1050</v>
      </c>
      <c r="R508" s="5">
        <f>SUMIFS('ورودی برنامه'!$E$4:$E$16,'ورودی برنامه'!$A$4:$A$16,A508,'ورودی برنامه'!$C$4:$C$16,C508)</f>
        <v>0</v>
      </c>
      <c r="S508" s="5">
        <f>ROUND(Q508*J508/K508*O508/100,10)</f>
        <v>1050</v>
      </c>
      <c r="T508" s="5">
        <f>ROUND(R508*J508/K508*O508/100,10)</f>
        <v>0</v>
      </c>
      <c r="U508" s="5" t="n">
        <v>1050</v>
      </c>
      <c r="V508" s="5" t="n">
        <v>0</v>
      </c>
    </row>
    <row r="509" ht="20" customHeight="1">
      <c r="A509" s="10" t="n">
        <v>1201997</v>
      </c>
      <c r="B509" s="11" t="inlineStr">
        <is>
          <t>جلوآمپر کنترل ماشینی شده 207 دستی یکسان سازی</t>
        </is>
      </c>
      <c r="C509" s="11" t="inlineStr">
        <is>
          <t>12019970105</t>
        </is>
      </c>
      <c r="D509" s="11" t="inlineStr">
        <is>
          <t>1405/03/27</t>
        </is>
      </c>
      <c r="E509" s="13" t="n"/>
      <c r="F509" s="10" t="n">
        <v>22023</v>
      </c>
      <c r="G509" s="10" t="n">
        <v>1111010</v>
      </c>
      <c r="H509" s="11" t="inlineStr">
        <is>
          <t>Crystal 8MHZ,10PPM,HC-49</t>
        </is>
      </c>
      <c r="I509" s="11" t="inlineStr">
        <is>
          <t>عدد</t>
        </is>
      </c>
      <c r="J509" s="10" t="n">
        <v>1</v>
      </c>
      <c r="K509" s="10" t="n">
        <v>1</v>
      </c>
      <c r="L509" s="11" t="inlineStr">
        <is>
          <t>-</t>
        </is>
      </c>
      <c r="M509" s="13" t="n"/>
      <c r="N509" s="13" t="n"/>
      <c r="O509" s="10" t="n">
        <v>100</v>
      </c>
      <c r="P509" s="11" t="inlineStr">
        <is>
          <t>مصرف مستقیم</t>
        </is>
      </c>
      <c r="Q509" s="10">
        <f>SUMIFS('ورودی برنامه'!$D$4:$D$16,'ورودی برنامه'!$A$4:$A$16,A509,'ورودی برنامه'!$C$4:$C$16,C509)</f>
        <v>1050</v>
      </c>
      <c r="R509" s="10">
        <f>SUMIFS('ورودی برنامه'!$E$4:$E$16,'ورودی برنامه'!$A$4:$A$16,A509,'ورودی برنامه'!$C$4:$C$16,C509)</f>
        <v>0</v>
      </c>
      <c r="S509" s="10">
        <f>ROUND(Q509*J509/K509*O509/100,10)</f>
        <v>1050</v>
      </c>
      <c r="T509" s="10">
        <f>ROUND(R509*J509/K509*O509/100,10)</f>
        <v>0</v>
      </c>
      <c r="U509" s="10" t="n">
        <v>1050</v>
      </c>
      <c r="V509" s="10" t="n">
        <v>0</v>
      </c>
    </row>
    <row r="510" ht="20" customHeight="1">
      <c r="A510" s="5" t="n">
        <v>1201997</v>
      </c>
      <c r="B510" s="6" t="inlineStr">
        <is>
          <t>جلوآمپر کنترل ماشینی شده 207 دستی یکسان سازی</t>
        </is>
      </c>
      <c r="C510" s="6" t="inlineStr">
        <is>
          <t>12019970105</t>
        </is>
      </c>
      <c r="D510" s="6" t="inlineStr">
        <is>
          <t>1405/03/27</t>
        </is>
      </c>
      <c r="E510" s="9" t="n"/>
      <c r="F510" s="5" t="n">
        <v>22380</v>
      </c>
      <c r="G510" s="5" t="n">
        <v>1110376</v>
      </c>
      <c r="H510" s="6" t="inlineStr">
        <is>
          <t>Resistor 1K,5%,1/4 W</t>
        </is>
      </c>
      <c r="I510" s="6" t="inlineStr">
        <is>
          <t>عدد</t>
        </is>
      </c>
      <c r="J510" s="5" t="n">
        <v>4</v>
      </c>
      <c r="K510" s="5" t="n">
        <v>1</v>
      </c>
      <c r="L510" s="6" t="inlineStr">
        <is>
          <t>12</t>
        </is>
      </c>
      <c r="M510" s="5" t="n">
        <v>1</v>
      </c>
      <c r="N510" s="5" t="n">
        <v>50</v>
      </c>
      <c r="O510" s="5">
        <f>N510</f>
        <v>50</v>
      </c>
      <c r="P510" s="6" t="inlineStr">
        <is>
          <t>سهم درصد استفاده BOM</t>
        </is>
      </c>
      <c r="Q510" s="5">
        <f>SUMIFS('ورودی برنامه'!$D$4:$D$16,'ورودی برنامه'!$A$4:$A$16,A510,'ورودی برنامه'!$C$4:$C$16,C510)</f>
        <v>1050</v>
      </c>
      <c r="R510" s="5">
        <f>SUMIFS('ورودی برنامه'!$E$4:$E$16,'ورودی برنامه'!$A$4:$A$16,A510,'ورودی برنامه'!$C$4:$C$16,C510)</f>
        <v>0</v>
      </c>
      <c r="S510" s="5">
        <f>ROUND(Q510*J510/K510*O510/100,10)</f>
        <v>2100</v>
      </c>
      <c r="T510" s="5">
        <f>ROUND(R510*J510/K510*O510/100,10)</f>
        <v>0</v>
      </c>
      <c r="U510" s="5" t="n">
        <v>4200</v>
      </c>
      <c r="V510" s="5" t="n">
        <v>0</v>
      </c>
    </row>
    <row r="511" ht="20" customHeight="1">
      <c r="A511" s="10" t="n">
        <v>1201997</v>
      </c>
      <c r="B511" s="11" t="inlineStr">
        <is>
          <t>جلوآمپر کنترل ماشینی شده 207 دستی یکسان سازی</t>
        </is>
      </c>
      <c r="C511" s="11" t="inlineStr">
        <is>
          <t>12019970105</t>
        </is>
      </c>
      <c r="D511" s="11" t="inlineStr">
        <is>
          <t>1405/03/27</t>
        </is>
      </c>
      <c r="E511" s="13" t="n"/>
      <c r="F511" s="10" t="n">
        <v>23734</v>
      </c>
      <c r="G511" s="10" t="n">
        <v>1110377</v>
      </c>
      <c r="H511" s="11" t="inlineStr">
        <is>
          <t>Resistor 1.5K, 1%, 1/10W</t>
        </is>
      </c>
      <c r="I511" s="11" t="inlineStr">
        <is>
          <t>عدد</t>
        </is>
      </c>
      <c r="J511" s="10" t="n">
        <v>3</v>
      </c>
      <c r="K511" s="10" t="n">
        <v>1</v>
      </c>
      <c r="L511" s="11" t="inlineStr">
        <is>
          <t>15</t>
        </is>
      </c>
      <c r="M511" s="10" t="n">
        <v>2</v>
      </c>
      <c r="N511" s="10" t="n">
        <v>50</v>
      </c>
      <c r="O511" s="10">
        <f>N511</f>
        <v>50</v>
      </c>
      <c r="P511" s="11" t="inlineStr">
        <is>
          <t>سهم درصد استفاده BOM</t>
        </is>
      </c>
      <c r="Q511" s="10">
        <f>SUMIFS('ورودی برنامه'!$D$4:$D$16,'ورودی برنامه'!$A$4:$A$16,A511,'ورودی برنامه'!$C$4:$C$16,C511)</f>
        <v>1050</v>
      </c>
      <c r="R511" s="10">
        <f>SUMIFS('ورودی برنامه'!$E$4:$E$16,'ورودی برنامه'!$A$4:$A$16,A511,'ورودی برنامه'!$C$4:$C$16,C511)</f>
        <v>0</v>
      </c>
      <c r="S511" s="10">
        <f>ROUND(Q511*J511/K511*O511/100,10)</f>
        <v>1575</v>
      </c>
      <c r="T511" s="10">
        <f>ROUND(R511*J511/K511*O511/100,10)</f>
        <v>0</v>
      </c>
      <c r="U511" s="10" t="n">
        <v>0</v>
      </c>
      <c r="V511" s="10" t="n">
        <v>0</v>
      </c>
    </row>
    <row r="512" ht="20" customHeight="1">
      <c r="A512" s="5" t="n">
        <v>1201997</v>
      </c>
      <c r="B512" s="6" t="inlineStr">
        <is>
          <t>جلوآمپر کنترل ماشینی شده 207 دستی یکسان سازی</t>
        </is>
      </c>
      <c r="C512" s="6" t="inlineStr">
        <is>
          <t>12019970105</t>
        </is>
      </c>
      <c r="D512" s="6" t="inlineStr">
        <is>
          <t>1405/03/27</t>
        </is>
      </c>
      <c r="E512" s="9" t="n"/>
      <c r="F512" s="5" t="n">
        <v>24202</v>
      </c>
      <c r="G512" s="5" t="n">
        <v>1110095</v>
      </c>
      <c r="H512" s="6" t="inlineStr">
        <is>
          <t>Capacitor 100nF,X7R,50V,10%</t>
        </is>
      </c>
      <c r="I512" s="6" t="inlineStr">
        <is>
          <t>عدد</t>
        </is>
      </c>
      <c r="J512" s="5" t="n">
        <v>11</v>
      </c>
      <c r="K512" s="5" t="n">
        <v>1</v>
      </c>
      <c r="L512" s="6" t="inlineStr">
        <is>
          <t>-</t>
        </is>
      </c>
      <c r="M512" s="9" t="n"/>
      <c r="N512" s="9" t="n"/>
      <c r="O512" s="5" t="n">
        <v>100</v>
      </c>
      <c r="P512" s="6" t="inlineStr">
        <is>
          <t>مصرف مستقیم</t>
        </is>
      </c>
      <c r="Q512" s="5">
        <f>SUMIFS('ورودی برنامه'!$D$4:$D$16,'ورودی برنامه'!$A$4:$A$16,A512,'ورودی برنامه'!$C$4:$C$16,C512)</f>
        <v>1050</v>
      </c>
      <c r="R512" s="5">
        <f>SUMIFS('ورودی برنامه'!$E$4:$E$16,'ورودی برنامه'!$A$4:$A$16,A512,'ورودی برنامه'!$C$4:$C$16,C512)</f>
        <v>0</v>
      </c>
      <c r="S512" s="5">
        <f>ROUND(Q512*J512/K512*O512/100,10)</f>
        <v>11550</v>
      </c>
      <c r="T512" s="5">
        <f>ROUND(R512*J512/K512*O512/100,10)</f>
        <v>0</v>
      </c>
      <c r="U512" s="5" t="n">
        <v>11550</v>
      </c>
      <c r="V512" s="5" t="n">
        <v>0</v>
      </c>
    </row>
    <row r="513" ht="20" customHeight="1">
      <c r="A513" s="10" t="n">
        <v>1201997</v>
      </c>
      <c r="B513" s="11" t="inlineStr">
        <is>
          <t>جلوآمپر کنترل ماشینی شده 207 دستی یکسان سازی</t>
        </is>
      </c>
      <c r="C513" s="11" t="inlineStr">
        <is>
          <t>12019970105</t>
        </is>
      </c>
      <c r="D513" s="11" t="inlineStr">
        <is>
          <t>1405/03/27</t>
        </is>
      </c>
      <c r="E513" s="13" t="n"/>
      <c r="F513" s="10" t="n">
        <v>25340</v>
      </c>
      <c r="G513" s="10" t="n">
        <v>1110105</v>
      </c>
      <c r="H513" s="11" t="inlineStr">
        <is>
          <t>Electrolit Capacitor 100uF,16V,20% 105</t>
        </is>
      </c>
      <c r="I513" s="11" t="inlineStr">
        <is>
          <t>عدد</t>
        </is>
      </c>
      <c r="J513" s="10" t="n">
        <v>1</v>
      </c>
      <c r="K513" s="10" t="n">
        <v>1</v>
      </c>
      <c r="L513" s="11" t="inlineStr">
        <is>
          <t>-</t>
        </is>
      </c>
      <c r="M513" s="13" t="n"/>
      <c r="N513" s="13" t="n"/>
      <c r="O513" s="10" t="n">
        <v>100</v>
      </c>
      <c r="P513" s="11" t="inlineStr">
        <is>
          <t>مصرف مستقیم</t>
        </is>
      </c>
      <c r="Q513" s="10">
        <f>SUMIFS('ورودی برنامه'!$D$4:$D$16,'ورودی برنامه'!$A$4:$A$16,A513,'ورودی برنامه'!$C$4:$C$16,C513)</f>
        <v>1050</v>
      </c>
      <c r="R513" s="10">
        <f>SUMIFS('ورودی برنامه'!$E$4:$E$16,'ورودی برنامه'!$A$4:$A$16,A513,'ورودی برنامه'!$C$4:$C$16,C513)</f>
        <v>0</v>
      </c>
      <c r="S513" s="10">
        <f>ROUND(Q513*J513/K513*O513/100,10)</f>
        <v>1050</v>
      </c>
      <c r="T513" s="10">
        <f>ROUND(R513*J513/K513*O513/100,10)</f>
        <v>0</v>
      </c>
      <c r="U513" s="10" t="n">
        <v>1050</v>
      </c>
      <c r="V513" s="10" t="n">
        <v>0</v>
      </c>
    </row>
    <row r="514" ht="20" customHeight="1">
      <c r="A514" s="5" t="n">
        <v>1201997</v>
      </c>
      <c r="B514" s="6" t="inlineStr">
        <is>
          <t>جلوآمپر کنترل ماشینی شده 207 دستی یکسان سازی</t>
        </is>
      </c>
      <c r="C514" s="6" t="inlineStr">
        <is>
          <t>12019970105</t>
        </is>
      </c>
      <c r="D514" s="6" t="inlineStr">
        <is>
          <t>1405/03/27</t>
        </is>
      </c>
      <c r="E514" s="9" t="n"/>
      <c r="F514" s="5" t="n">
        <v>25599</v>
      </c>
      <c r="G514" s="5" t="n">
        <v>1110107</v>
      </c>
      <c r="H514" s="6" t="inlineStr">
        <is>
          <t>Capacitor 470nF,X7R,50V,10%</t>
        </is>
      </c>
      <c r="I514" s="6" t="inlineStr">
        <is>
          <t>عدد</t>
        </is>
      </c>
      <c r="J514" s="5" t="n">
        <v>3</v>
      </c>
      <c r="K514" s="5" t="n">
        <v>1</v>
      </c>
      <c r="L514" s="6" t="inlineStr">
        <is>
          <t>-</t>
        </is>
      </c>
      <c r="M514" s="9" t="n"/>
      <c r="N514" s="9" t="n"/>
      <c r="O514" s="5" t="n">
        <v>100</v>
      </c>
      <c r="P514" s="6" t="inlineStr">
        <is>
          <t>مصرف مستقیم</t>
        </is>
      </c>
      <c r="Q514" s="5">
        <f>SUMIFS('ورودی برنامه'!$D$4:$D$16,'ورودی برنامه'!$A$4:$A$16,A514,'ورودی برنامه'!$C$4:$C$16,C514)</f>
        <v>1050</v>
      </c>
      <c r="R514" s="5">
        <f>SUMIFS('ورودی برنامه'!$E$4:$E$16,'ورودی برنامه'!$A$4:$A$16,A514,'ورودی برنامه'!$C$4:$C$16,C514)</f>
        <v>0</v>
      </c>
      <c r="S514" s="5">
        <f>ROUND(Q514*J514/K514*O514/100,10)</f>
        <v>3150</v>
      </c>
      <c r="T514" s="5">
        <f>ROUND(R514*J514/K514*O514/100,10)</f>
        <v>0</v>
      </c>
      <c r="U514" s="5" t="n">
        <v>3150</v>
      </c>
      <c r="V514" s="5" t="n">
        <v>0</v>
      </c>
    </row>
    <row r="515" ht="20" customHeight="1">
      <c r="A515" s="10" t="n">
        <v>1201997</v>
      </c>
      <c r="B515" s="11" t="inlineStr">
        <is>
          <t>جلوآمپر کنترل ماشینی شده 207 دستی یکسان سازی</t>
        </is>
      </c>
      <c r="C515" s="11" t="inlineStr">
        <is>
          <t>12019970105</t>
        </is>
      </c>
      <c r="D515" s="11" t="inlineStr">
        <is>
          <t>1405/03/27</t>
        </is>
      </c>
      <c r="E515" s="13" t="n"/>
      <c r="F515" s="10" t="n">
        <v>26573</v>
      </c>
      <c r="G515" s="10" t="n">
        <v>1110098</v>
      </c>
      <c r="H515" s="11" t="inlineStr">
        <is>
          <t>Capacitor 330uF,35V,20%,105C,D&lt;8,L&lt;20</t>
        </is>
      </c>
      <c r="I515" s="11" t="inlineStr">
        <is>
          <t>عدد</t>
        </is>
      </c>
      <c r="J515" s="10" t="n">
        <v>1</v>
      </c>
      <c r="K515" s="10" t="n">
        <v>1</v>
      </c>
      <c r="L515" s="11" t="inlineStr">
        <is>
          <t>-</t>
        </is>
      </c>
      <c r="M515" s="13" t="n"/>
      <c r="N515" s="13" t="n"/>
      <c r="O515" s="10" t="n">
        <v>100</v>
      </c>
      <c r="P515" s="11" t="inlineStr">
        <is>
          <t>مصرف مستقیم</t>
        </is>
      </c>
      <c r="Q515" s="10">
        <f>SUMIFS('ورودی برنامه'!$D$4:$D$16,'ورودی برنامه'!$A$4:$A$16,A515,'ورودی برنامه'!$C$4:$C$16,C515)</f>
        <v>1050</v>
      </c>
      <c r="R515" s="10">
        <f>SUMIFS('ورودی برنامه'!$E$4:$E$16,'ورودی برنامه'!$A$4:$A$16,A515,'ورودی برنامه'!$C$4:$C$16,C515)</f>
        <v>0</v>
      </c>
      <c r="S515" s="10">
        <f>ROUND(Q515*J515/K515*O515/100,10)</f>
        <v>1050</v>
      </c>
      <c r="T515" s="10">
        <f>ROUND(R515*J515/K515*O515/100,10)</f>
        <v>0</v>
      </c>
      <c r="U515" s="10" t="n">
        <v>1050</v>
      </c>
      <c r="V515" s="10" t="n">
        <v>0</v>
      </c>
    </row>
    <row r="516" ht="20" customHeight="1">
      <c r="A516" s="5" t="n">
        <v>1201997</v>
      </c>
      <c r="B516" s="6" t="inlineStr">
        <is>
          <t>جلوآمپر کنترل ماشینی شده 207 دستی یکسان سازی</t>
        </is>
      </c>
      <c r="C516" s="6" t="inlineStr">
        <is>
          <t>12019970105</t>
        </is>
      </c>
      <c r="D516" s="6" t="inlineStr">
        <is>
          <t>1405/03/27</t>
        </is>
      </c>
      <c r="E516" s="9" t="n"/>
      <c r="F516" s="5" t="n">
        <v>27805</v>
      </c>
      <c r="G516" s="5" t="n">
        <v>1110183</v>
      </c>
      <c r="H516" s="6" t="inlineStr">
        <is>
          <t>Resistor 10K,5%,1/10W 0603</t>
        </is>
      </c>
      <c r="I516" s="6" t="inlineStr">
        <is>
          <t>عدد</t>
        </is>
      </c>
      <c r="J516" s="5" t="n">
        <v>6</v>
      </c>
      <c r="K516" s="5" t="n">
        <v>1</v>
      </c>
      <c r="L516" s="6" t="inlineStr">
        <is>
          <t>-</t>
        </is>
      </c>
      <c r="M516" s="9" t="n"/>
      <c r="N516" s="9" t="n"/>
      <c r="O516" s="5" t="n">
        <v>100</v>
      </c>
      <c r="P516" s="6" t="inlineStr">
        <is>
          <t>مصرف مستقیم</t>
        </is>
      </c>
      <c r="Q516" s="5">
        <f>SUMIFS('ورودی برنامه'!$D$4:$D$16,'ورودی برنامه'!$A$4:$A$16,A516,'ورودی برنامه'!$C$4:$C$16,C516)</f>
        <v>1050</v>
      </c>
      <c r="R516" s="5">
        <f>SUMIFS('ورودی برنامه'!$E$4:$E$16,'ورودی برنامه'!$A$4:$A$16,A516,'ورودی برنامه'!$C$4:$C$16,C516)</f>
        <v>0</v>
      </c>
      <c r="S516" s="5">
        <f>ROUND(Q516*J516/K516*O516/100,10)</f>
        <v>6300</v>
      </c>
      <c r="T516" s="5">
        <f>ROUND(R516*J516/K516*O516/100,10)</f>
        <v>0</v>
      </c>
      <c r="U516" s="5" t="n">
        <v>6300</v>
      </c>
      <c r="V516" s="5" t="n">
        <v>0</v>
      </c>
    </row>
    <row r="517" ht="20" customHeight="1">
      <c r="A517" s="10" t="n">
        <v>1201997</v>
      </c>
      <c r="B517" s="11" t="inlineStr">
        <is>
          <t>جلوآمپر کنترل ماشینی شده 207 دستی یکسان سازی</t>
        </is>
      </c>
      <c r="C517" s="11" t="inlineStr">
        <is>
          <t>12019970105</t>
        </is>
      </c>
      <c r="D517" s="11" t="inlineStr">
        <is>
          <t>1405/03/27</t>
        </is>
      </c>
      <c r="E517" s="13" t="n"/>
      <c r="F517" s="10" t="n">
        <v>30317</v>
      </c>
      <c r="G517" s="10" t="n">
        <v>1110706</v>
      </c>
      <c r="H517" s="11" t="inlineStr">
        <is>
          <t>resistor 1K,1%,1/10W</t>
        </is>
      </c>
      <c r="I517" s="11" t="inlineStr">
        <is>
          <t>عدد</t>
        </is>
      </c>
      <c r="J517" s="10" t="n">
        <v>1</v>
      </c>
      <c r="K517" s="10" t="n">
        <v>1</v>
      </c>
      <c r="L517" s="11" t="inlineStr">
        <is>
          <t>11</t>
        </is>
      </c>
      <c r="M517" s="10" t="n">
        <v>2</v>
      </c>
      <c r="N517" s="10" t="n">
        <v>50</v>
      </c>
      <c r="O517" s="10">
        <f>N517</f>
        <v>50</v>
      </c>
      <c r="P517" s="11" t="inlineStr">
        <is>
          <t>سهم درصد استفاده BOM</t>
        </is>
      </c>
      <c r="Q517" s="10">
        <f>SUMIFS('ورودی برنامه'!$D$4:$D$16,'ورودی برنامه'!$A$4:$A$16,A517,'ورودی برنامه'!$C$4:$C$16,C517)</f>
        <v>1050</v>
      </c>
      <c r="R517" s="10">
        <f>SUMIFS('ورودی برنامه'!$E$4:$E$16,'ورودی برنامه'!$A$4:$A$16,A517,'ورودی برنامه'!$C$4:$C$16,C517)</f>
        <v>0</v>
      </c>
      <c r="S517" s="10">
        <f>ROUND(Q517*J517/K517*O517/100,10)</f>
        <v>525</v>
      </c>
      <c r="T517" s="10">
        <f>ROUND(R517*J517/K517*O517/100,10)</f>
        <v>0</v>
      </c>
      <c r="U517" s="10" t="n">
        <v>1050</v>
      </c>
      <c r="V517" s="10" t="n">
        <v>0</v>
      </c>
    </row>
    <row r="518" ht="20" customHeight="1">
      <c r="A518" s="5" t="n">
        <v>1201997</v>
      </c>
      <c r="B518" s="6" t="inlineStr">
        <is>
          <t>جلوآمپر کنترل ماشینی شده 207 دستی یکسان سازی</t>
        </is>
      </c>
      <c r="C518" s="6" t="inlineStr">
        <is>
          <t>12019970105</t>
        </is>
      </c>
      <c r="D518" s="6" t="inlineStr">
        <is>
          <t>1405/03/27</t>
        </is>
      </c>
      <c r="E518" s="9" t="n"/>
      <c r="F518" s="5" t="n">
        <v>30344</v>
      </c>
      <c r="G518" s="5" t="n">
        <v>1110702</v>
      </c>
      <c r="H518" s="6" t="inlineStr">
        <is>
          <t>resistor 10K,1%,1/10W</t>
        </is>
      </c>
      <c r="I518" s="6" t="inlineStr">
        <is>
          <t>عدد</t>
        </is>
      </c>
      <c r="J518" s="5" t="n">
        <v>1</v>
      </c>
      <c r="K518" s="5" t="n">
        <v>1</v>
      </c>
      <c r="L518" s="6" t="inlineStr">
        <is>
          <t>-</t>
        </is>
      </c>
      <c r="M518" s="9" t="n"/>
      <c r="N518" s="9" t="n"/>
      <c r="O518" s="5" t="n">
        <v>100</v>
      </c>
      <c r="P518" s="6" t="inlineStr">
        <is>
          <t>مصرف مستقیم</t>
        </is>
      </c>
      <c r="Q518" s="5">
        <f>SUMIFS('ورودی برنامه'!$D$4:$D$16,'ورودی برنامه'!$A$4:$A$16,A518,'ورودی برنامه'!$C$4:$C$16,C518)</f>
        <v>1050</v>
      </c>
      <c r="R518" s="5">
        <f>SUMIFS('ورودی برنامه'!$E$4:$E$16,'ورودی برنامه'!$A$4:$A$16,A518,'ورودی برنامه'!$C$4:$C$16,C518)</f>
        <v>0</v>
      </c>
      <c r="S518" s="5">
        <f>ROUND(Q518*J518/K518*O518/100,10)</f>
        <v>1050</v>
      </c>
      <c r="T518" s="5">
        <f>ROUND(R518*J518/K518*O518/100,10)</f>
        <v>0</v>
      </c>
      <c r="U518" s="5" t="n">
        <v>1050</v>
      </c>
      <c r="V518" s="5" t="n">
        <v>0</v>
      </c>
    </row>
    <row r="519" ht="20" customHeight="1">
      <c r="A519" s="10" t="n">
        <v>1201997</v>
      </c>
      <c r="B519" s="11" t="inlineStr">
        <is>
          <t>جلوآمپر کنترل ماشینی شده 207 دستی یکسان سازی</t>
        </is>
      </c>
      <c r="C519" s="11" t="inlineStr">
        <is>
          <t>12019970105</t>
        </is>
      </c>
      <c r="D519" s="11" t="inlineStr">
        <is>
          <t>1405/03/27</t>
        </is>
      </c>
      <c r="E519" s="13" t="n"/>
      <c r="F519" s="10" t="n">
        <v>31691</v>
      </c>
      <c r="G519" s="10" t="n">
        <v>1110708</v>
      </c>
      <c r="H519" s="11" t="inlineStr">
        <is>
          <t>Resistor 1K,5%,1/10W (3004604</t>
        </is>
      </c>
      <c r="I519" s="11" t="inlineStr">
        <is>
          <t>عدد</t>
        </is>
      </c>
      <c r="J519" s="10" t="n">
        <v>1</v>
      </c>
      <c r="K519" s="10" t="n">
        <v>1</v>
      </c>
      <c r="L519" s="11" t="inlineStr">
        <is>
          <t>11</t>
        </is>
      </c>
      <c r="M519" s="10" t="n">
        <v>1</v>
      </c>
      <c r="N519" s="10" t="n">
        <v>50</v>
      </c>
      <c r="O519" s="10">
        <f>N519</f>
        <v>50</v>
      </c>
      <c r="P519" s="11" t="inlineStr">
        <is>
          <t>سهم درصد استفاده BOM</t>
        </is>
      </c>
      <c r="Q519" s="10">
        <f>SUMIFS('ورودی برنامه'!$D$4:$D$16,'ورودی برنامه'!$A$4:$A$16,A519,'ورودی برنامه'!$C$4:$C$16,C519)</f>
        <v>1050</v>
      </c>
      <c r="R519" s="10">
        <f>SUMIFS('ورودی برنامه'!$E$4:$E$16,'ورودی برنامه'!$A$4:$A$16,A519,'ورودی برنامه'!$C$4:$C$16,C519)</f>
        <v>0</v>
      </c>
      <c r="S519" s="10">
        <f>ROUND(Q519*J519/K519*O519/100,10)</f>
        <v>525</v>
      </c>
      <c r="T519" s="10">
        <f>ROUND(R519*J519/K519*O519/100,10)</f>
        <v>0</v>
      </c>
      <c r="U519" s="10" t="n">
        <v>0</v>
      </c>
      <c r="V519" s="10" t="n">
        <v>0</v>
      </c>
    </row>
    <row r="520" ht="20" customHeight="1">
      <c r="A520" s="5" t="n">
        <v>1201997</v>
      </c>
      <c r="B520" s="6" t="inlineStr">
        <is>
          <t>جلوآمپر کنترل ماشینی شده 207 دستی یکسان سازی</t>
        </is>
      </c>
      <c r="C520" s="6" t="inlineStr">
        <is>
          <t>12019970105</t>
        </is>
      </c>
      <c r="D520" s="6" t="inlineStr">
        <is>
          <t>1405/03/27</t>
        </is>
      </c>
      <c r="E520" s="9" t="n"/>
      <c r="F520" s="5" t="n">
        <v>32011</v>
      </c>
      <c r="G520" s="5" t="n">
        <v>1110714</v>
      </c>
      <c r="H520" s="6" t="inlineStr">
        <is>
          <t>Resistor 22K,1%,1/10W</t>
        </is>
      </c>
      <c r="I520" s="6" t="inlineStr">
        <is>
          <t>عدد</t>
        </is>
      </c>
      <c r="J520" s="5" t="n">
        <v>2</v>
      </c>
      <c r="K520" s="5" t="n">
        <v>1</v>
      </c>
      <c r="L520" s="6" t="inlineStr">
        <is>
          <t>10</t>
        </is>
      </c>
      <c r="M520" s="5" t="n">
        <v>2</v>
      </c>
      <c r="N520" s="5" t="n">
        <v>50</v>
      </c>
      <c r="O520" s="5">
        <f>N520</f>
        <v>50</v>
      </c>
      <c r="P520" s="6" t="inlineStr">
        <is>
          <t>سهم درصد استفاده BOM</t>
        </is>
      </c>
      <c r="Q520" s="5">
        <f>SUMIFS('ورودی برنامه'!$D$4:$D$16,'ورودی برنامه'!$A$4:$A$16,A520,'ورودی برنامه'!$C$4:$C$16,C520)</f>
        <v>1050</v>
      </c>
      <c r="R520" s="5">
        <f>SUMIFS('ورودی برنامه'!$E$4:$E$16,'ورودی برنامه'!$A$4:$A$16,A520,'ورودی برنامه'!$C$4:$C$16,C520)</f>
        <v>0</v>
      </c>
      <c r="S520" s="5">
        <f>ROUND(Q520*J520/K520*O520/100,10)</f>
        <v>1050</v>
      </c>
      <c r="T520" s="5">
        <f>ROUND(R520*J520/K520*O520/100,10)</f>
        <v>0</v>
      </c>
      <c r="U520" s="5" t="n">
        <v>0</v>
      </c>
      <c r="V520" s="5" t="n">
        <v>0</v>
      </c>
    </row>
    <row r="521" ht="20" customHeight="1">
      <c r="A521" s="10" t="n">
        <v>1201997</v>
      </c>
      <c r="B521" s="11" t="inlineStr">
        <is>
          <t>جلوآمپر کنترل ماشینی شده 207 دستی یکسان سازی</t>
        </is>
      </c>
      <c r="C521" s="11" t="inlineStr">
        <is>
          <t>12019970105</t>
        </is>
      </c>
      <c r="D521" s="11" t="inlineStr">
        <is>
          <t>1405/03/27</t>
        </is>
      </c>
      <c r="E521" s="13" t="n"/>
      <c r="F521" s="10" t="n">
        <v>33139</v>
      </c>
      <c r="G521" s="10" t="n">
        <v>1110001</v>
      </c>
      <c r="H521" s="11" t="inlineStr">
        <is>
          <t>Capacitor 1UF, 50V, X7R,10%</t>
        </is>
      </c>
      <c r="I521" s="11" t="inlineStr">
        <is>
          <t>عدد</t>
        </is>
      </c>
      <c r="J521" s="10" t="n">
        <v>1</v>
      </c>
      <c r="K521" s="10" t="n">
        <v>1</v>
      </c>
      <c r="L521" s="11" t="inlineStr">
        <is>
          <t>1</t>
        </is>
      </c>
      <c r="M521" s="10" t="n">
        <v>2</v>
      </c>
      <c r="N521" s="10" t="n">
        <v>50</v>
      </c>
      <c r="O521" s="10">
        <f>N521</f>
        <v>50</v>
      </c>
      <c r="P521" s="11" t="inlineStr">
        <is>
          <t>سهم درصد استفاده BOM</t>
        </is>
      </c>
      <c r="Q521" s="10">
        <f>SUMIFS('ورودی برنامه'!$D$4:$D$16,'ورودی برنامه'!$A$4:$A$16,A521,'ورودی برنامه'!$C$4:$C$16,C521)</f>
        <v>1050</v>
      </c>
      <c r="R521" s="10">
        <f>SUMIFS('ورودی برنامه'!$E$4:$E$16,'ورودی برنامه'!$A$4:$A$16,A521,'ورودی برنامه'!$C$4:$C$16,C521)</f>
        <v>0</v>
      </c>
      <c r="S521" s="10">
        <f>ROUND(Q521*J521/K521*O521/100,10)</f>
        <v>525</v>
      </c>
      <c r="T521" s="10">
        <f>ROUND(R521*J521/K521*O521/100,10)</f>
        <v>0</v>
      </c>
      <c r="U521" s="10" t="n">
        <v>0</v>
      </c>
      <c r="V521" s="10" t="n">
        <v>0</v>
      </c>
    </row>
    <row r="522" ht="20" customHeight="1">
      <c r="A522" s="5" t="n">
        <v>1201997</v>
      </c>
      <c r="B522" s="6" t="inlineStr">
        <is>
          <t>جلوآمپر کنترل ماشینی شده 207 دستی یکسان سازی</t>
        </is>
      </c>
      <c r="C522" s="6" t="inlineStr">
        <is>
          <t>12019970105</t>
        </is>
      </c>
      <c r="D522" s="6" t="inlineStr">
        <is>
          <t>1405/03/27</t>
        </is>
      </c>
      <c r="E522" s="9" t="n"/>
      <c r="F522" s="5" t="n">
        <v>33599</v>
      </c>
      <c r="G522" s="5" t="n">
        <v>1110101</v>
      </c>
      <c r="H522" s="6" t="inlineStr">
        <is>
          <t>Capacitor 47nF, X7R, 50V, 10%</t>
        </is>
      </c>
      <c r="I522" s="6" t="inlineStr">
        <is>
          <t>عدد</t>
        </is>
      </c>
      <c r="J522" s="5" t="n">
        <v>7</v>
      </c>
      <c r="K522" s="5" t="n">
        <v>1</v>
      </c>
      <c r="L522" s="6" t="inlineStr">
        <is>
          <t>-</t>
        </is>
      </c>
      <c r="M522" s="9" t="n"/>
      <c r="N522" s="9" t="n"/>
      <c r="O522" s="5" t="n">
        <v>100</v>
      </c>
      <c r="P522" s="6" t="inlineStr">
        <is>
          <t>مصرف مستقیم</t>
        </is>
      </c>
      <c r="Q522" s="5">
        <f>SUMIFS('ورودی برنامه'!$D$4:$D$16,'ورودی برنامه'!$A$4:$A$16,A522,'ورودی برنامه'!$C$4:$C$16,C522)</f>
        <v>1050</v>
      </c>
      <c r="R522" s="5">
        <f>SUMIFS('ورودی برنامه'!$E$4:$E$16,'ورودی برنامه'!$A$4:$A$16,A522,'ورودی برنامه'!$C$4:$C$16,C522)</f>
        <v>0</v>
      </c>
      <c r="S522" s="5">
        <f>ROUND(Q522*J522/K522*O522/100,10)</f>
        <v>7350</v>
      </c>
      <c r="T522" s="5">
        <f>ROUND(R522*J522/K522*O522/100,10)</f>
        <v>0</v>
      </c>
      <c r="U522" s="5" t="n">
        <v>7350</v>
      </c>
      <c r="V522" s="5" t="n">
        <v>0</v>
      </c>
    </row>
    <row r="523" ht="20" customHeight="1">
      <c r="A523" s="10" t="n">
        <v>1201997</v>
      </c>
      <c r="B523" s="11" t="inlineStr">
        <is>
          <t>جلوآمپر کنترل ماشینی شده 207 دستی یکسان سازی</t>
        </is>
      </c>
      <c r="C523" s="11" t="inlineStr">
        <is>
          <t>12019970105</t>
        </is>
      </c>
      <c r="D523" s="11" t="inlineStr">
        <is>
          <t>1405/03/27</t>
        </is>
      </c>
      <c r="E523" s="13" t="n"/>
      <c r="F523" s="10" t="n">
        <v>33946</v>
      </c>
      <c r="G523" s="10" t="n">
        <v>1110109</v>
      </c>
      <c r="H523" s="11" t="inlineStr">
        <is>
          <t>Capacitor 68pF , 5%,50V , X7R</t>
        </is>
      </c>
      <c r="I523" s="11" t="inlineStr">
        <is>
          <t>عدد</t>
        </is>
      </c>
      <c r="J523" s="10" t="n">
        <v>2</v>
      </c>
      <c r="K523" s="10" t="n">
        <v>1</v>
      </c>
      <c r="L523" s="11" t="inlineStr">
        <is>
          <t>-</t>
        </is>
      </c>
      <c r="M523" s="13" t="n"/>
      <c r="N523" s="13" t="n"/>
      <c r="O523" s="10" t="n">
        <v>100</v>
      </c>
      <c r="P523" s="11" t="inlineStr">
        <is>
          <t>مصرف مستقیم</t>
        </is>
      </c>
      <c r="Q523" s="10">
        <f>SUMIFS('ورودی برنامه'!$D$4:$D$16,'ورودی برنامه'!$A$4:$A$16,A523,'ورودی برنامه'!$C$4:$C$16,C523)</f>
        <v>1050</v>
      </c>
      <c r="R523" s="10">
        <f>SUMIFS('ورودی برنامه'!$E$4:$E$16,'ورودی برنامه'!$A$4:$A$16,A523,'ورودی برنامه'!$C$4:$C$16,C523)</f>
        <v>0</v>
      </c>
      <c r="S523" s="10">
        <f>ROUND(Q523*J523/K523*O523/100,10)</f>
        <v>2100</v>
      </c>
      <c r="T523" s="10">
        <f>ROUND(R523*J523/K523*O523/100,10)</f>
        <v>0</v>
      </c>
      <c r="U523" s="10" t="n">
        <v>2100</v>
      </c>
      <c r="V523" s="10" t="n">
        <v>0</v>
      </c>
    </row>
    <row r="524" ht="20" customHeight="1">
      <c r="A524" s="5" t="n">
        <v>1201997</v>
      </c>
      <c r="B524" s="6" t="inlineStr">
        <is>
          <t>جلوآمپر کنترل ماشینی شده 207 دستی یکسان سازی</t>
        </is>
      </c>
      <c r="C524" s="6" t="inlineStr">
        <is>
          <t>12019970105</t>
        </is>
      </c>
      <c r="D524" s="6" t="inlineStr">
        <is>
          <t>1405/03/27</t>
        </is>
      </c>
      <c r="E524" s="9" t="n"/>
      <c r="F524" s="5" t="n">
        <v>34414</v>
      </c>
      <c r="G524" s="5" t="n">
        <v>1110761</v>
      </c>
      <c r="H524" s="6" t="inlineStr">
        <is>
          <t>Resistor 4.7k, 1%, 1/16W</t>
        </is>
      </c>
      <c r="I524" s="6" t="inlineStr">
        <is>
          <t>عدد</t>
        </is>
      </c>
      <c r="J524" s="5" t="n">
        <v>2</v>
      </c>
      <c r="K524" s="5" t="n">
        <v>1</v>
      </c>
      <c r="L524" s="6" t="inlineStr">
        <is>
          <t>7</t>
        </is>
      </c>
      <c r="M524" s="5" t="n">
        <v>2</v>
      </c>
      <c r="N524" s="5" t="n">
        <v>50</v>
      </c>
      <c r="O524" s="5">
        <f>N524</f>
        <v>50</v>
      </c>
      <c r="P524" s="6" t="inlineStr">
        <is>
          <t>سهم درصد استفاده BOM</t>
        </is>
      </c>
      <c r="Q524" s="5">
        <f>SUMIFS('ورودی برنامه'!$D$4:$D$16,'ورودی برنامه'!$A$4:$A$16,A524,'ورودی برنامه'!$C$4:$C$16,C524)</f>
        <v>1050</v>
      </c>
      <c r="R524" s="5">
        <f>SUMIFS('ورودی برنامه'!$E$4:$E$16,'ورودی برنامه'!$A$4:$A$16,A524,'ورودی برنامه'!$C$4:$C$16,C524)</f>
        <v>0</v>
      </c>
      <c r="S524" s="5">
        <f>ROUND(Q524*J524/K524*O524/100,10)</f>
        <v>1050</v>
      </c>
      <c r="T524" s="5">
        <f>ROUND(R524*J524/K524*O524/100,10)</f>
        <v>0</v>
      </c>
      <c r="U524" s="5" t="n">
        <v>0</v>
      </c>
      <c r="V524" s="5" t="n">
        <v>0</v>
      </c>
    </row>
    <row r="525" ht="20" customHeight="1">
      <c r="A525" s="10" t="n">
        <v>1201997</v>
      </c>
      <c r="B525" s="11" t="inlineStr">
        <is>
          <t>جلوآمپر کنترل ماشینی شده 207 دستی یکسان سازی</t>
        </is>
      </c>
      <c r="C525" s="11" t="inlineStr">
        <is>
          <t>12019970105</t>
        </is>
      </c>
      <c r="D525" s="11" t="inlineStr">
        <is>
          <t>1405/03/27</t>
        </is>
      </c>
      <c r="E525" s="13" t="n"/>
      <c r="F525" s="10" t="n">
        <v>35402</v>
      </c>
      <c r="G525" s="10" t="n">
        <v>1110808</v>
      </c>
      <c r="H525" s="11" t="inlineStr">
        <is>
          <t>Diode Zener BZT52B5V6</t>
        </is>
      </c>
      <c r="I525" s="11" t="inlineStr">
        <is>
          <t>عدد</t>
        </is>
      </c>
      <c r="J525" s="10" t="n">
        <v>1</v>
      </c>
      <c r="K525" s="10" t="n">
        <v>1</v>
      </c>
      <c r="L525" s="11" t="inlineStr">
        <is>
          <t>-</t>
        </is>
      </c>
      <c r="M525" s="13" t="n"/>
      <c r="N525" s="13" t="n"/>
      <c r="O525" s="10" t="n">
        <v>100</v>
      </c>
      <c r="P525" s="11" t="inlineStr">
        <is>
          <t>مصرف مستقیم</t>
        </is>
      </c>
      <c r="Q525" s="10">
        <f>SUMIFS('ورودی برنامه'!$D$4:$D$16,'ورودی برنامه'!$A$4:$A$16,A525,'ورودی برنامه'!$C$4:$C$16,C525)</f>
        <v>1050</v>
      </c>
      <c r="R525" s="10">
        <f>SUMIFS('ورودی برنامه'!$E$4:$E$16,'ورودی برنامه'!$A$4:$A$16,A525,'ورودی برنامه'!$C$4:$C$16,C525)</f>
        <v>0</v>
      </c>
      <c r="S525" s="10">
        <f>ROUND(Q525*J525/K525*O525/100,10)</f>
        <v>1050</v>
      </c>
      <c r="T525" s="10">
        <f>ROUND(R525*J525/K525*O525/100,10)</f>
        <v>0</v>
      </c>
      <c r="U525" s="10" t="n">
        <v>1050</v>
      </c>
      <c r="V525" s="10" t="n">
        <v>0</v>
      </c>
    </row>
    <row r="526" ht="20" customHeight="1">
      <c r="A526" s="5" t="n">
        <v>1201997</v>
      </c>
      <c r="B526" s="6" t="inlineStr">
        <is>
          <t>جلوآمپر کنترل ماشینی شده 207 دستی یکسان سازی</t>
        </is>
      </c>
      <c r="C526" s="6" t="inlineStr">
        <is>
          <t>12019970105</t>
        </is>
      </c>
      <c r="D526" s="6" t="inlineStr">
        <is>
          <t>1405/03/27</t>
        </is>
      </c>
      <c r="E526" s="9" t="n"/>
      <c r="F526" s="5" t="n">
        <v>36314</v>
      </c>
      <c r="G526" s="5" t="n">
        <v>1110123</v>
      </c>
      <c r="H526" s="6" t="inlineStr">
        <is>
          <t>(Capacitor 1UF, 25V, X7R, 10%(1206</t>
        </is>
      </c>
      <c r="I526" s="6" t="inlineStr">
        <is>
          <t>عدد</t>
        </is>
      </c>
      <c r="J526" s="5" t="n">
        <v>1</v>
      </c>
      <c r="K526" s="5" t="n">
        <v>1</v>
      </c>
      <c r="L526" s="6" t="inlineStr">
        <is>
          <t>1</t>
        </is>
      </c>
      <c r="M526" s="5" t="n">
        <v>1</v>
      </c>
      <c r="N526" s="5" t="n">
        <v>50</v>
      </c>
      <c r="O526" s="5">
        <f>N526</f>
        <v>50</v>
      </c>
      <c r="P526" s="6" t="inlineStr">
        <is>
          <t>سهم درصد استفاده BOM</t>
        </is>
      </c>
      <c r="Q526" s="5">
        <f>SUMIFS('ورودی برنامه'!$D$4:$D$16,'ورودی برنامه'!$A$4:$A$16,A526,'ورودی برنامه'!$C$4:$C$16,C526)</f>
        <v>1050</v>
      </c>
      <c r="R526" s="5">
        <f>SUMIFS('ورودی برنامه'!$E$4:$E$16,'ورودی برنامه'!$A$4:$A$16,A526,'ورودی برنامه'!$C$4:$C$16,C526)</f>
        <v>0</v>
      </c>
      <c r="S526" s="5">
        <f>ROUND(Q526*J526/K526*O526/100,10)</f>
        <v>525</v>
      </c>
      <c r="T526" s="5">
        <f>ROUND(R526*J526/K526*O526/100,10)</f>
        <v>0</v>
      </c>
      <c r="U526" s="5" t="n">
        <v>1050</v>
      </c>
      <c r="V526" s="5" t="n">
        <v>0</v>
      </c>
    </row>
    <row r="527" ht="20" customHeight="1">
      <c r="A527" s="10" t="n">
        <v>1201997</v>
      </c>
      <c r="B527" s="11" t="inlineStr">
        <is>
          <t>جلوآمپر کنترل ماشینی شده 207 دستی یکسان سازی</t>
        </is>
      </c>
      <c r="C527" s="11" t="inlineStr">
        <is>
          <t>12019970105</t>
        </is>
      </c>
      <c r="D527" s="11" t="inlineStr">
        <is>
          <t>1405/03/27</t>
        </is>
      </c>
      <c r="E527" s="13" t="n"/>
      <c r="F527" s="10" t="n">
        <v>36668</v>
      </c>
      <c r="G527" s="10" t="n">
        <v>1110875</v>
      </c>
      <c r="H527" s="11" t="inlineStr">
        <is>
          <t>LED, True Green LT T673-P1Q2-25-Z</t>
        </is>
      </c>
      <c r="I527" s="11" t="inlineStr">
        <is>
          <t>عدد</t>
        </is>
      </c>
      <c r="J527" s="10" t="n">
        <v>3</v>
      </c>
      <c r="K527" s="10" t="n">
        <v>1</v>
      </c>
      <c r="L527" s="11" t="inlineStr">
        <is>
          <t>5</t>
        </is>
      </c>
      <c r="M527" s="10" t="n">
        <v>2</v>
      </c>
      <c r="N527" s="10" t="n">
        <v>50</v>
      </c>
      <c r="O527" s="10">
        <f>N527</f>
        <v>50</v>
      </c>
      <c r="P527" s="11" t="inlineStr">
        <is>
          <t>سهم درصد استفاده BOM</t>
        </is>
      </c>
      <c r="Q527" s="10">
        <f>SUMIFS('ورودی برنامه'!$D$4:$D$16,'ورودی برنامه'!$A$4:$A$16,A527,'ورودی برنامه'!$C$4:$C$16,C527)</f>
        <v>1050</v>
      </c>
      <c r="R527" s="10">
        <f>SUMIFS('ورودی برنامه'!$E$4:$E$16,'ورودی برنامه'!$A$4:$A$16,A527,'ورودی برنامه'!$C$4:$C$16,C527)</f>
        <v>0</v>
      </c>
      <c r="S527" s="10">
        <f>ROUND(Q527*J527/K527*O527/100,10)</f>
        <v>1575</v>
      </c>
      <c r="T527" s="10">
        <f>ROUND(R527*J527/K527*O527/100,10)</f>
        <v>0</v>
      </c>
      <c r="U527" s="10" t="n">
        <v>0</v>
      </c>
      <c r="V527" s="10" t="n">
        <v>0</v>
      </c>
    </row>
    <row r="528" ht="20" customHeight="1">
      <c r="A528" s="5" t="n">
        <v>1201997</v>
      </c>
      <c r="B528" s="6" t="inlineStr">
        <is>
          <t>جلوآمپر کنترل ماشینی شده 207 دستی یکسان سازی</t>
        </is>
      </c>
      <c r="C528" s="6" t="inlineStr">
        <is>
          <t>12019970105</t>
        </is>
      </c>
      <c r="D528" s="6" t="inlineStr">
        <is>
          <t>1405/03/27</t>
        </is>
      </c>
      <c r="E528" s="9" t="n"/>
      <c r="F528" s="5" t="n">
        <v>36674</v>
      </c>
      <c r="G528" s="5" t="n">
        <v>1110876</v>
      </c>
      <c r="H528" s="6" t="inlineStr">
        <is>
          <t>LED, Blue LB T676-K2L2-1</t>
        </is>
      </c>
      <c r="I528" s="6" t="inlineStr">
        <is>
          <t>عدد</t>
        </is>
      </c>
      <c r="J528" s="5" t="n">
        <v>1</v>
      </c>
      <c r="K528" s="5" t="n">
        <v>1</v>
      </c>
      <c r="L528" s="6" t="inlineStr">
        <is>
          <t>4</t>
        </is>
      </c>
      <c r="M528" s="5" t="n">
        <v>3</v>
      </c>
      <c r="N528" s="5" t="n">
        <v>33</v>
      </c>
      <c r="O528" s="5">
        <f>N528</f>
        <v>33</v>
      </c>
      <c r="P528" s="6" t="inlineStr">
        <is>
          <t>سهم درصد استفاده BOM</t>
        </is>
      </c>
      <c r="Q528" s="5">
        <f>SUMIFS('ورودی برنامه'!$D$4:$D$16,'ورودی برنامه'!$A$4:$A$16,A528,'ورودی برنامه'!$C$4:$C$16,C528)</f>
        <v>1050</v>
      </c>
      <c r="R528" s="5">
        <f>SUMIFS('ورودی برنامه'!$E$4:$E$16,'ورودی برنامه'!$A$4:$A$16,A528,'ورودی برنامه'!$C$4:$C$16,C528)</f>
        <v>0</v>
      </c>
      <c r="S528" s="5">
        <f>ROUND(Q528*J528/K528*O528/100,10)</f>
        <v>346.5</v>
      </c>
      <c r="T528" s="5">
        <f>ROUND(R528*J528/K528*O528/100,10)</f>
        <v>0</v>
      </c>
      <c r="U528" s="5" t="n">
        <v>0</v>
      </c>
      <c r="V528" s="5" t="n">
        <v>0</v>
      </c>
    </row>
    <row r="529" ht="20" customHeight="1">
      <c r="A529" s="10" t="n">
        <v>1201997</v>
      </c>
      <c r="B529" s="11" t="inlineStr">
        <is>
          <t>جلوآمپر کنترل ماشینی شده 207 دستی یکسان سازی</t>
        </is>
      </c>
      <c r="C529" s="11" t="inlineStr">
        <is>
          <t>12019970105</t>
        </is>
      </c>
      <c r="D529" s="11" t="inlineStr">
        <is>
          <t>1405/03/27</t>
        </is>
      </c>
      <c r="E529" s="13" t="n"/>
      <c r="F529" s="10" t="n">
        <v>36969</v>
      </c>
      <c r="G529" s="10" t="n">
        <v>1110849</v>
      </c>
      <c r="H529" s="11" t="inlineStr">
        <is>
          <t>LED, Blue EL 67-21B1C-A1J2L1C6C-2T8-AM</t>
        </is>
      </c>
      <c r="I529" s="11" t="inlineStr">
        <is>
          <t>عدد</t>
        </is>
      </c>
      <c r="J529" s="10" t="n">
        <v>1</v>
      </c>
      <c r="K529" s="10" t="n">
        <v>1</v>
      </c>
      <c r="L529" s="11" t="inlineStr">
        <is>
          <t>4</t>
        </is>
      </c>
      <c r="M529" s="10" t="n">
        <v>2</v>
      </c>
      <c r="N529" s="10" t="n">
        <v>33</v>
      </c>
      <c r="O529" s="10">
        <f>N529</f>
        <v>33</v>
      </c>
      <c r="P529" s="11" t="inlineStr">
        <is>
          <t>سهم درصد استفاده BOM</t>
        </is>
      </c>
      <c r="Q529" s="10">
        <f>SUMIFS('ورودی برنامه'!$D$4:$D$16,'ورودی برنامه'!$A$4:$A$16,A529,'ورودی برنامه'!$C$4:$C$16,C529)</f>
        <v>1050</v>
      </c>
      <c r="R529" s="10">
        <f>SUMIFS('ورودی برنامه'!$E$4:$E$16,'ورودی برنامه'!$A$4:$A$16,A529,'ورودی برنامه'!$C$4:$C$16,C529)</f>
        <v>0</v>
      </c>
      <c r="S529" s="10">
        <f>ROUND(Q529*J529/K529*O529/100,10)</f>
        <v>346.5</v>
      </c>
      <c r="T529" s="10">
        <f>ROUND(R529*J529/K529*O529/100,10)</f>
        <v>0</v>
      </c>
      <c r="U529" s="10" t="n">
        <v>0</v>
      </c>
      <c r="V529" s="10" t="n">
        <v>0</v>
      </c>
    </row>
    <row r="530" ht="20" customHeight="1">
      <c r="A530" s="5" t="n">
        <v>1201997</v>
      </c>
      <c r="B530" s="6" t="inlineStr">
        <is>
          <t>جلوآمپر کنترل ماشینی شده 207 دستی یکسان سازی</t>
        </is>
      </c>
      <c r="C530" s="6" t="inlineStr">
        <is>
          <t>12019970105</t>
        </is>
      </c>
      <c r="D530" s="6" t="inlineStr">
        <is>
          <t>1405/03/27</t>
        </is>
      </c>
      <c r="E530" s="9" t="n"/>
      <c r="F530" s="5" t="n">
        <v>37532</v>
      </c>
      <c r="G530" s="5" t="n">
        <v>1110779</v>
      </c>
      <c r="H530" s="6" t="inlineStr">
        <is>
          <t>Resistor 27K,1%,1/10W</t>
        </is>
      </c>
      <c r="I530" s="6" t="inlineStr">
        <is>
          <t>عدد</t>
        </is>
      </c>
      <c r="J530" s="5" t="n">
        <v>1</v>
      </c>
      <c r="K530" s="5" t="n">
        <v>1</v>
      </c>
      <c r="L530" s="6" t="inlineStr">
        <is>
          <t>-</t>
        </is>
      </c>
      <c r="M530" s="9" t="n"/>
      <c r="N530" s="9" t="n"/>
      <c r="O530" s="5" t="n">
        <v>100</v>
      </c>
      <c r="P530" s="6" t="inlineStr">
        <is>
          <t>مصرف مستقیم</t>
        </is>
      </c>
      <c r="Q530" s="5">
        <f>SUMIFS('ورودی برنامه'!$D$4:$D$16,'ورودی برنامه'!$A$4:$A$16,A530,'ورودی برنامه'!$C$4:$C$16,C530)</f>
        <v>1050</v>
      </c>
      <c r="R530" s="5">
        <f>SUMIFS('ورودی برنامه'!$E$4:$E$16,'ورودی برنامه'!$A$4:$A$16,A530,'ورودی برنامه'!$C$4:$C$16,C530)</f>
        <v>0</v>
      </c>
      <c r="S530" s="5">
        <f>ROUND(Q530*J530/K530*O530/100,10)</f>
        <v>1050</v>
      </c>
      <c r="T530" s="5">
        <f>ROUND(R530*J530/K530*O530/100,10)</f>
        <v>0</v>
      </c>
      <c r="U530" s="5" t="n">
        <v>1050</v>
      </c>
      <c r="V530" s="5" t="n">
        <v>0</v>
      </c>
    </row>
    <row r="531" ht="20" customHeight="1">
      <c r="A531" s="10" t="n">
        <v>1201997</v>
      </c>
      <c r="B531" s="11" t="inlineStr">
        <is>
          <t>جلوآمپر کنترل ماشینی شده 207 دستی یکسان سازی</t>
        </is>
      </c>
      <c r="C531" s="11" t="inlineStr">
        <is>
          <t>12019970105</t>
        </is>
      </c>
      <c r="D531" s="11" t="inlineStr">
        <is>
          <t>1405/03/27</t>
        </is>
      </c>
      <c r="E531" s="13" t="n"/>
      <c r="F531" s="10" t="n">
        <v>37561</v>
      </c>
      <c r="G531" s="10" t="n">
        <v>1110901</v>
      </c>
      <c r="H531" s="11" t="inlineStr">
        <is>
          <t>Diode 1N4007WS</t>
        </is>
      </c>
      <c r="I531" s="11" t="inlineStr">
        <is>
          <t>عدد</t>
        </is>
      </c>
      <c r="J531" s="10" t="n">
        <v>1</v>
      </c>
      <c r="K531" s="10" t="n">
        <v>1</v>
      </c>
      <c r="L531" s="11" t="inlineStr">
        <is>
          <t>-</t>
        </is>
      </c>
      <c r="M531" s="13" t="n"/>
      <c r="N531" s="13" t="n"/>
      <c r="O531" s="10" t="n">
        <v>100</v>
      </c>
      <c r="P531" s="11" t="inlineStr">
        <is>
          <t>مصرف مستقیم</t>
        </is>
      </c>
      <c r="Q531" s="10">
        <f>SUMIFS('ورودی برنامه'!$D$4:$D$16,'ورودی برنامه'!$A$4:$A$16,A531,'ورودی برنامه'!$C$4:$C$16,C531)</f>
        <v>1050</v>
      </c>
      <c r="R531" s="10">
        <f>SUMIFS('ورودی برنامه'!$E$4:$E$16,'ورودی برنامه'!$A$4:$A$16,A531,'ورودی برنامه'!$C$4:$C$16,C531)</f>
        <v>0</v>
      </c>
      <c r="S531" s="10">
        <f>ROUND(Q531*J531/K531*O531/100,10)</f>
        <v>1050</v>
      </c>
      <c r="T531" s="10">
        <f>ROUND(R531*J531/K531*O531/100,10)</f>
        <v>0</v>
      </c>
      <c r="U531" s="10" t="n">
        <v>1050</v>
      </c>
      <c r="V531" s="10" t="n">
        <v>0</v>
      </c>
    </row>
    <row r="532" ht="20" customHeight="1">
      <c r="A532" s="5" t="n">
        <v>1202122</v>
      </c>
      <c r="B532" s="6" t="inlineStr">
        <is>
          <t>کلید شیشه بالابر شاگرد کنترل ماشینی شده PASSENGER SBCM</t>
        </is>
      </c>
      <c r="C532" s="6" t="inlineStr">
        <is>
          <t>12021220100</t>
        </is>
      </c>
      <c r="D532" s="6" t="inlineStr">
        <is>
          <t>1404/04/10</t>
        </is>
      </c>
      <c r="E532" s="9" t="n"/>
      <c r="F532" s="5" t="n">
        <v>3926</v>
      </c>
      <c r="G532" s="5" t="n">
        <v>1100458</v>
      </c>
      <c r="H532" s="6" t="inlineStr">
        <is>
          <t>PCB PW R Crouse Type</t>
        </is>
      </c>
      <c r="I532" s="6" t="inlineStr">
        <is>
          <t>عدد(شمارشی)</t>
        </is>
      </c>
      <c r="J532" s="5" t="n">
        <v>1</v>
      </c>
      <c r="K532" s="5" t="n">
        <v>1</v>
      </c>
      <c r="L532" s="6" t="inlineStr">
        <is>
          <t>-</t>
        </is>
      </c>
      <c r="M532" s="9" t="n"/>
      <c r="N532" s="9" t="n"/>
      <c r="O532" s="5" t="n">
        <v>100</v>
      </c>
      <c r="P532" s="6" t="inlineStr">
        <is>
          <t>مصرف مستقیم</t>
        </is>
      </c>
      <c r="Q532" s="5">
        <f>SUMIFS('ورودی برنامه'!$D$4:$D$16,'ورودی برنامه'!$A$4:$A$16,A532,'ورودی برنامه'!$C$4:$C$16,C532)</f>
        <v>3000</v>
      </c>
      <c r="R532" s="5">
        <f>SUMIFS('ورودی برنامه'!$E$4:$E$16,'ورودی برنامه'!$A$4:$A$16,A532,'ورودی برنامه'!$C$4:$C$16,C532)</f>
        <v>3000</v>
      </c>
      <c r="S532" s="5">
        <f>ROUND(Q532*J532/K532*O532/100,10)</f>
        <v>3000</v>
      </c>
      <c r="T532" s="5">
        <f>ROUND(R532*J532/K532*O532/100,10)</f>
        <v>3000</v>
      </c>
      <c r="U532" s="5" t="n">
        <v>3000</v>
      </c>
      <c r="V532" s="5" t="n">
        <v>3000</v>
      </c>
    </row>
    <row r="533" ht="20" customHeight="1">
      <c r="A533" s="10" t="n">
        <v>1202122</v>
      </c>
      <c r="B533" s="11" t="inlineStr">
        <is>
          <t>کلید شیشه بالابر شاگرد کنترل ماشینی شده PASSENGER SBCM</t>
        </is>
      </c>
      <c r="C533" s="11" t="inlineStr">
        <is>
          <t>12021220100</t>
        </is>
      </c>
      <c r="D533" s="11" t="inlineStr">
        <is>
          <t>1404/04/10</t>
        </is>
      </c>
      <c r="E533" s="13" t="n"/>
      <c r="F533" s="10" t="n">
        <v>4745</v>
      </c>
      <c r="G533" s="10" t="n">
        <v>1101072</v>
      </c>
      <c r="H533" s="11" t="inlineStr">
        <is>
          <t>Resettable fuse PPTC 200MA 30V</t>
        </is>
      </c>
      <c r="I533" s="11" t="inlineStr">
        <is>
          <t>عدد(شمارشی)</t>
        </is>
      </c>
      <c r="J533" s="10" t="n">
        <v>2</v>
      </c>
      <c r="K533" s="10" t="n">
        <v>1</v>
      </c>
      <c r="L533" s="11" t="inlineStr">
        <is>
          <t>-</t>
        </is>
      </c>
      <c r="M533" s="13" t="n"/>
      <c r="N533" s="13" t="n"/>
      <c r="O533" s="10" t="n">
        <v>100</v>
      </c>
      <c r="P533" s="11" t="inlineStr">
        <is>
          <t>مصرف مستقیم</t>
        </is>
      </c>
      <c r="Q533" s="10">
        <f>SUMIFS('ورودی برنامه'!$D$4:$D$16,'ورودی برنامه'!$A$4:$A$16,A533,'ورودی برنامه'!$C$4:$C$16,C533)</f>
        <v>3000</v>
      </c>
      <c r="R533" s="10">
        <f>SUMIFS('ورودی برنامه'!$E$4:$E$16,'ورودی برنامه'!$A$4:$A$16,A533,'ورودی برنامه'!$C$4:$C$16,C533)</f>
        <v>3000</v>
      </c>
      <c r="S533" s="10">
        <f>ROUND(Q533*J533/K533*O533/100,10)</f>
        <v>6000</v>
      </c>
      <c r="T533" s="10">
        <f>ROUND(R533*J533/K533*O533/100,10)</f>
        <v>6000</v>
      </c>
      <c r="U533" s="10" t="n">
        <v>6000</v>
      </c>
      <c r="V533" s="10" t="n">
        <v>6000</v>
      </c>
    </row>
    <row r="534" ht="20" customHeight="1">
      <c r="A534" s="5" t="n">
        <v>1202122</v>
      </c>
      <c r="B534" s="6" t="inlineStr">
        <is>
          <t>کلید شیشه بالابر شاگرد کنترل ماشینی شده PASSENGER SBCM</t>
        </is>
      </c>
      <c r="C534" s="6" t="inlineStr">
        <is>
          <t>12021220100</t>
        </is>
      </c>
      <c r="D534" s="6" t="inlineStr">
        <is>
          <t>1404/04/10</t>
        </is>
      </c>
      <c r="E534" s="9" t="n"/>
      <c r="F534" s="5" t="n">
        <v>4770</v>
      </c>
      <c r="G534" s="5" t="n">
        <v>1111228</v>
      </c>
      <c r="H534" s="6" t="inlineStr">
        <is>
          <t>Tact SWITCH SET SKRWANE030</t>
        </is>
      </c>
      <c r="I534" s="6" t="inlineStr">
        <is>
          <t>عدد(شمارشی)</t>
        </is>
      </c>
      <c r="J534" s="5" t="n">
        <v>4</v>
      </c>
      <c r="K534" s="5" t="n">
        <v>1</v>
      </c>
      <c r="L534" s="6" t="inlineStr">
        <is>
          <t>-</t>
        </is>
      </c>
      <c r="M534" s="9" t="n"/>
      <c r="N534" s="9" t="n"/>
      <c r="O534" s="5" t="n">
        <v>100</v>
      </c>
      <c r="P534" s="6" t="inlineStr">
        <is>
          <t>مصرف مستقیم</t>
        </is>
      </c>
      <c r="Q534" s="5">
        <f>SUMIFS('ورودی برنامه'!$D$4:$D$16,'ورودی برنامه'!$A$4:$A$16,A534,'ورودی برنامه'!$C$4:$C$16,C534)</f>
        <v>3000</v>
      </c>
      <c r="R534" s="5">
        <f>SUMIFS('ورودی برنامه'!$E$4:$E$16,'ورودی برنامه'!$A$4:$A$16,A534,'ورودی برنامه'!$C$4:$C$16,C534)</f>
        <v>3000</v>
      </c>
      <c r="S534" s="5">
        <f>ROUND(Q534*J534/K534*O534/100,10)</f>
        <v>12000</v>
      </c>
      <c r="T534" s="5">
        <f>ROUND(R534*J534/K534*O534/100,10)</f>
        <v>12000</v>
      </c>
      <c r="U534" s="5" t="n">
        <v>12000</v>
      </c>
      <c r="V534" s="5" t="n">
        <v>12000</v>
      </c>
    </row>
    <row r="535" ht="20" customHeight="1">
      <c r="A535" s="10" t="n">
        <v>1202122</v>
      </c>
      <c r="B535" s="11" t="inlineStr">
        <is>
          <t>کلید شیشه بالابر شاگرد کنترل ماشینی شده PASSENGER SBCM</t>
        </is>
      </c>
      <c r="C535" s="11" t="inlineStr">
        <is>
          <t>12021220100</t>
        </is>
      </c>
      <c r="D535" s="11" t="inlineStr">
        <is>
          <t>1404/04/10</t>
        </is>
      </c>
      <c r="E535" s="13" t="n"/>
      <c r="F535" s="10" t="n">
        <v>27516</v>
      </c>
      <c r="G535" s="10" t="n">
        <v>1110865</v>
      </c>
      <c r="H535" s="11" t="inlineStr">
        <is>
          <t>LED;IWS-L3022-PW-D1</t>
        </is>
      </c>
      <c r="I535" s="11" t="inlineStr">
        <is>
          <t>عدد</t>
        </is>
      </c>
      <c r="J535" s="10" t="n">
        <v>1</v>
      </c>
      <c r="K535" s="10" t="n">
        <v>1</v>
      </c>
      <c r="L535" s="11" t="inlineStr">
        <is>
          <t>-</t>
        </is>
      </c>
      <c r="M535" s="13" t="n"/>
      <c r="N535" s="13" t="n"/>
      <c r="O535" s="10" t="n">
        <v>100</v>
      </c>
      <c r="P535" s="11" t="inlineStr">
        <is>
          <t>مصرف مستقیم</t>
        </is>
      </c>
      <c r="Q535" s="10">
        <f>SUMIFS('ورودی برنامه'!$D$4:$D$16,'ورودی برنامه'!$A$4:$A$16,A535,'ورودی برنامه'!$C$4:$C$16,C535)</f>
        <v>3000</v>
      </c>
      <c r="R535" s="10">
        <f>SUMIFS('ورودی برنامه'!$E$4:$E$16,'ورودی برنامه'!$A$4:$A$16,A535,'ورودی برنامه'!$C$4:$C$16,C535)</f>
        <v>3000</v>
      </c>
      <c r="S535" s="10">
        <f>ROUND(Q535*J535/K535*O535/100,10)</f>
        <v>3000</v>
      </c>
      <c r="T535" s="10">
        <f>ROUND(R535*J535/K535*O535/100,10)</f>
        <v>3000</v>
      </c>
      <c r="U535" s="10" t="n">
        <v>3000</v>
      </c>
      <c r="V535" s="10" t="n">
        <v>3000</v>
      </c>
    </row>
    <row r="536" ht="20" customHeight="1">
      <c r="A536" s="5" t="n">
        <v>1202122</v>
      </c>
      <c r="B536" s="6" t="inlineStr">
        <is>
          <t>کلید شیشه بالابر شاگرد کنترل ماشینی شده PASSENGER SBCM</t>
        </is>
      </c>
      <c r="C536" s="6" t="inlineStr">
        <is>
          <t>12021220100</t>
        </is>
      </c>
      <c r="D536" s="6" t="inlineStr">
        <is>
          <t>1404/04/10</t>
        </is>
      </c>
      <c r="E536" s="9" t="n"/>
      <c r="F536" s="5" t="n">
        <v>28651</v>
      </c>
      <c r="G536" s="5" t="n">
        <v>1110178</v>
      </c>
      <c r="H536" s="6" t="inlineStr">
        <is>
          <t>Resistor 8.2k, 5% ,1/4W, 3216</t>
        </is>
      </c>
      <c r="I536" s="6" t="inlineStr">
        <is>
          <t>عدد</t>
        </is>
      </c>
      <c r="J536" s="5" t="n">
        <v>1</v>
      </c>
      <c r="K536" s="5" t="n">
        <v>1</v>
      </c>
      <c r="L536" s="6" t="inlineStr">
        <is>
          <t>1</t>
        </is>
      </c>
      <c r="M536" s="5" t="n">
        <v>1</v>
      </c>
      <c r="N536" s="5" t="n">
        <v>50</v>
      </c>
      <c r="O536" s="5">
        <f>N536</f>
        <v>50</v>
      </c>
      <c r="P536" s="6" t="inlineStr">
        <is>
          <t>سهم درصد استفاده BOM</t>
        </is>
      </c>
      <c r="Q536" s="5">
        <f>SUMIFS('ورودی برنامه'!$D$4:$D$16,'ورودی برنامه'!$A$4:$A$16,A536,'ورودی برنامه'!$C$4:$C$16,C536)</f>
        <v>3000</v>
      </c>
      <c r="R536" s="5">
        <f>SUMIFS('ورودی برنامه'!$E$4:$E$16,'ورودی برنامه'!$A$4:$A$16,A536,'ورودی برنامه'!$C$4:$C$16,C536)</f>
        <v>3000</v>
      </c>
      <c r="S536" s="5">
        <f>ROUND(Q536*J536/K536*O536/100,10)</f>
        <v>1500</v>
      </c>
      <c r="T536" s="5">
        <f>ROUND(R536*J536/K536*O536/100,10)</f>
        <v>1500</v>
      </c>
      <c r="U536" s="5" t="n">
        <v>3000</v>
      </c>
      <c r="V536" s="5" t="n">
        <v>3000</v>
      </c>
    </row>
    <row r="537" ht="20" customHeight="1">
      <c r="A537" s="10" t="n">
        <v>1202122</v>
      </c>
      <c r="B537" s="11" t="inlineStr">
        <is>
          <t>کلید شیشه بالابر شاگرد کنترل ماشینی شده PASSENGER SBCM</t>
        </is>
      </c>
      <c r="C537" s="11" t="inlineStr">
        <is>
          <t>12021220100</t>
        </is>
      </c>
      <c r="D537" s="11" t="inlineStr">
        <is>
          <t>1404/04/10</t>
        </is>
      </c>
      <c r="E537" s="13" t="n"/>
      <c r="F537" s="10" t="n">
        <v>38056</v>
      </c>
      <c r="G537" s="10" t="n">
        <v>1110765</v>
      </c>
      <c r="H537" s="11" t="inlineStr">
        <is>
          <t>Resistor 8.2k, 1%, 1/4w</t>
        </is>
      </c>
      <c r="I537" s="11" t="inlineStr">
        <is>
          <t>عدد</t>
        </is>
      </c>
      <c r="J537" s="10" t="n">
        <v>1</v>
      </c>
      <c r="K537" s="10" t="n">
        <v>1</v>
      </c>
      <c r="L537" s="11" t="inlineStr">
        <is>
          <t>1</t>
        </is>
      </c>
      <c r="M537" s="10" t="n">
        <v>2</v>
      </c>
      <c r="N537" s="10" t="n">
        <v>50</v>
      </c>
      <c r="O537" s="10">
        <f>N537</f>
        <v>50</v>
      </c>
      <c r="P537" s="11" t="inlineStr">
        <is>
          <t>سهم درصد استفاده BOM</t>
        </is>
      </c>
      <c r="Q537" s="10">
        <f>SUMIFS('ورودی برنامه'!$D$4:$D$16,'ورودی برنامه'!$A$4:$A$16,A537,'ورودی برنامه'!$C$4:$C$16,C537)</f>
        <v>3000</v>
      </c>
      <c r="R537" s="10">
        <f>SUMIFS('ورودی برنامه'!$E$4:$E$16,'ورودی برنامه'!$A$4:$A$16,A537,'ورودی برنامه'!$C$4:$C$16,C537)</f>
        <v>3000</v>
      </c>
      <c r="S537" s="10">
        <f>ROUND(Q537*J537/K537*O537/100,10)</f>
        <v>1500</v>
      </c>
      <c r="T537" s="10">
        <f>ROUND(R537*J537/K537*O537/100,10)</f>
        <v>1500</v>
      </c>
      <c r="U537" s="10" t="n">
        <v>0</v>
      </c>
      <c r="V537" s="10" t="n">
        <v>0</v>
      </c>
    </row>
    <row r="538" ht="20" customHeight="1">
      <c r="A538" s="5" t="n">
        <v>1202150</v>
      </c>
      <c r="B538" s="6" t="inlineStr">
        <is>
          <t>کلید شیشه بالابر جلوچپ مونتاژماشینی شده CKD DRIVER DSM</t>
        </is>
      </c>
      <c r="C538" s="6" t="inlineStr">
        <is>
          <t>12021500203</t>
        </is>
      </c>
      <c r="D538" s="6" t="inlineStr">
        <is>
          <t>1403/07/30</t>
        </is>
      </c>
      <c r="E538" s="9" t="n"/>
      <c r="F538" s="5" t="n">
        <v>628</v>
      </c>
      <c r="G538" s="5" t="n">
        <v>1110518</v>
      </c>
      <c r="H538" s="6" t="inlineStr">
        <is>
          <t>IC Microcontroller PIC16F18345-I/SO</t>
        </is>
      </c>
      <c r="I538" s="6" t="inlineStr">
        <is>
          <t>عدد</t>
        </is>
      </c>
      <c r="J538" s="5" t="n">
        <v>1</v>
      </c>
      <c r="K538" s="5" t="n">
        <v>1</v>
      </c>
      <c r="L538" s="6" t="inlineStr">
        <is>
          <t>13</t>
        </is>
      </c>
      <c r="M538" s="5" t="n">
        <v>1</v>
      </c>
      <c r="N538" s="5" t="n">
        <v>50</v>
      </c>
      <c r="O538" s="5">
        <f>N538</f>
        <v>50</v>
      </c>
      <c r="P538" s="6" t="inlineStr">
        <is>
          <t>سهم درصد استفاده BOM</t>
        </is>
      </c>
      <c r="Q538" s="5">
        <f>SUMIFS('ورودی برنامه'!$D$4:$D$16,'ورودی برنامه'!$A$4:$A$16,A538,'ورودی برنامه'!$C$4:$C$16,C538)</f>
        <v>1000</v>
      </c>
      <c r="R538" s="5">
        <f>SUMIFS('ورودی برنامه'!$E$4:$E$16,'ورودی برنامه'!$A$4:$A$16,A538,'ورودی برنامه'!$C$4:$C$16,C538)</f>
        <v>0</v>
      </c>
      <c r="S538" s="5">
        <f>ROUND(Q538*J538/K538*O538/100,10)</f>
        <v>500</v>
      </c>
      <c r="T538" s="5">
        <f>ROUND(R538*J538/K538*O538/100,10)</f>
        <v>0</v>
      </c>
      <c r="U538" s="5" t="n">
        <v>1000</v>
      </c>
      <c r="V538" s="5" t="n">
        <v>0</v>
      </c>
    </row>
    <row r="539" ht="20" customHeight="1">
      <c r="A539" s="10" t="n">
        <v>1202150</v>
      </c>
      <c r="B539" s="11" t="inlineStr">
        <is>
          <t>کلید شیشه بالابر جلوچپ مونتاژماشینی شده CKD DRIVER DSM</t>
        </is>
      </c>
      <c r="C539" s="11" t="inlineStr">
        <is>
          <t>12021500203</t>
        </is>
      </c>
      <c r="D539" s="11" t="inlineStr">
        <is>
          <t>1403/07/30</t>
        </is>
      </c>
      <c r="E539" s="13" t="n"/>
      <c r="F539" s="10" t="n">
        <v>3770</v>
      </c>
      <c r="G539" s="10" t="n">
        <v>1110774</v>
      </c>
      <c r="H539" s="11" t="inlineStr">
        <is>
          <t>Resistor PTC 15Ω</t>
        </is>
      </c>
      <c r="I539" s="11" t="inlineStr">
        <is>
          <t>عدد(شمارشی)</t>
        </is>
      </c>
      <c r="J539" s="10" t="n">
        <v>2</v>
      </c>
      <c r="K539" s="10" t="n">
        <v>1</v>
      </c>
      <c r="L539" s="11" t="inlineStr">
        <is>
          <t>14</t>
        </is>
      </c>
      <c r="M539" s="10" t="n">
        <v>2</v>
      </c>
      <c r="N539" s="10" t="n">
        <v>50</v>
      </c>
      <c r="O539" s="10">
        <f>N539</f>
        <v>50</v>
      </c>
      <c r="P539" s="11" t="inlineStr">
        <is>
          <t>سهم درصد استفاده BOM</t>
        </is>
      </c>
      <c r="Q539" s="10">
        <f>SUMIFS('ورودی برنامه'!$D$4:$D$16,'ورودی برنامه'!$A$4:$A$16,A539,'ورودی برنامه'!$C$4:$C$16,C539)</f>
        <v>1000</v>
      </c>
      <c r="R539" s="10">
        <f>SUMIFS('ورودی برنامه'!$E$4:$E$16,'ورودی برنامه'!$A$4:$A$16,A539,'ورودی برنامه'!$C$4:$C$16,C539)</f>
        <v>0</v>
      </c>
      <c r="S539" s="10">
        <f>ROUND(Q539*J539/K539*O539/100,10)</f>
        <v>1000</v>
      </c>
      <c r="T539" s="10">
        <f>ROUND(R539*J539/K539*O539/100,10)</f>
        <v>0</v>
      </c>
      <c r="U539" s="10" t="n">
        <v>0</v>
      </c>
      <c r="V539" s="10" t="n">
        <v>0</v>
      </c>
    </row>
    <row r="540" ht="20" customHeight="1">
      <c r="A540" s="5" t="n">
        <v>1202150</v>
      </c>
      <c r="B540" s="6" t="inlineStr">
        <is>
          <t>کلید شیشه بالابر جلوچپ مونتاژماشینی شده CKD DRIVER DSM</t>
        </is>
      </c>
      <c r="C540" s="6" t="inlineStr">
        <is>
          <t>12021500203</t>
        </is>
      </c>
      <c r="D540" s="6" t="inlineStr">
        <is>
          <t>1403/07/30</t>
        </is>
      </c>
      <c r="E540" s="9" t="n"/>
      <c r="F540" s="5" t="n">
        <v>5828</v>
      </c>
      <c r="G540" s="5" t="n">
        <v>1110011</v>
      </c>
      <c r="H540" s="6" t="inlineStr">
        <is>
          <t>Capacitor 100P, 50V, NPO, 5%</t>
        </is>
      </c>
      <c r="I540" s="6" t="inlineStr">
        <is>
          <t>عدد</t>
        </is>
      </c>
      <c r="J540" s="5" t="n">
        <v>7</v>
      </c>
      <c r="K540" s="5" t="n">
        <v>1</v>
      </c>
      <c r="L540" s="6" t="inlineStr">
        <is>
          <t>-</t>
        </is>
      </c>
      <c r="M540" s="9" t="n"/>
      <c r="N540" s="9" t="n"/>
      <c r="O540" s="5" t="n">
        <v>100</v>
      </c>
      <c r="P540" s="6" t="inlineStr">
        <is>
          <t>مصرف مستقیم</t>
        </is>
      </c>
      <c r="Q540" s="5">
        <f>SUMIFS('ورودی برنامه'!$D$4:$D$16,'ورودی برنامه'!$A$4:$A$16,A540,'ورودی برنامه'!$C$4:$C$16,C540)</f>
        <v>1000</v>
      </c>
      <c r="R540" s="5">
        <f>SUMIFS('ورودی برنامه'!$E$4:$E$16,'ورودی برنامه'!$A$4:$A$16,A540,'ورودی برنامه'!$C$4:$C$16,C540)</f>
        <v>0</v>
      </c>
      <c r="S540" s="5">
        <f>ROUND(Q540*J540/K540*O540/100,10)</f>
        <v>7000</v>
      </c>
      <c r="T540" s="5">
        <f>ROUND(R540*J540/K540*O540/100,10)</f>
        <v>0</v>
      </c>
      <c r="U540" s="5" t="n">
        <v>7000</v>
      </c>
      <c r="V540" s="5" t="n">
        <v>0</v>
      </c>
    </row>
    <row r="541" ht="20" customHeight="1">
      <c r="A541" s="10" t="n">
        <v>1202150</v>
      </c>
      <c r="B541" s="11" t="inlineStr">
        <is>
          <t>کلید شیشه بالابر جلوچپ مونتاژماشینی شده CKD DRIVER DSM</t>
        </is>
      </c>
      <c r="C541" s="11" t="inlineStr">
        <is>
          <t>12021500203</t>
        </is>
      </c>
      <c r="D541" s="11" t="inlineStr">
        <is>
          <t>1403/07/30</t>
        </is>
      </c>
      <c r="E541" s="13" t="n"/>
      <c r="F541" s="10" t="n">
        <v>6318</v>
      </c>
      <c r="G541" s="10" t="n">
        <v>1110903</v>
      </c>
      <c r="H541" s="11" t="inlineStr">
        <is>
          <t>Diode 1N4007</t>
        </is>
      </c>
      <c r="I541" s="11" t="inlineStr">
        <is>
          <t>عدد</t>
        </is>
      </c>
      <c r="J541" s="10" t="n">
        <v>2</v>
      </c>
      <c r="K541" s="10" t="n">
        <v>1</v>
      </c>
      <c r="L541" s="11" t="inlineStr">
        <is>
          <t>4</t>
        </is>
      </c>
      <c r="M541" s="10" t="n">
        <v>1</v>
      </c>
      <c r="N541" s="10" t="n">
        <v>50</v>
      </c>
      <c r="O541" s="10">
        <f>N541</f>
        <v>50</v>
      </c>
      <c r="P541" s="11" t="inlineStr">
        <is>
          <t>سهم درصد استفاده BOM</t>
        </is>
      </c>
      <c r="Q541" s="10">
        <f>SUMIFS('ورودی برنامه'!$D$4:$D$16,'ورودی برنامه'!$A$4:$A$16,A541,'ورودی برنامه'!$C$4:$C$16,C541)</f>
        <v>1000</v>
      </c>
      <c r="R541" s="10">
        <f>SUMIFS('ورودی برنامه'!$E$4:$E$16,'ورودی برنامه'!$A$4:$A$16,A541,'ورودی برنامه'!$C$4:$C$16,C541)</f>
        <v>0</v>
      </c>
      <c r="S541" s="10">
        <f>ROUND(Q541*J541/K541*O541/100,10)</f>
        <v>1000</v>
      </c>
      <c r="T541" s="10">
        <f>ROUND(R541*J541/K541*O541/100,10)</f>
        <v>0</v>
      </c>
      <c r="U541" s="10" t="n">
        <v>2000</v>
      </c>
      <c r="V541" s="10" t="n">
        <v>0</v>
      </c>
    </row>
    <row r="542" ht="20" customHeight="1">
      <c r="A542" s="5" t="n">
        <v>1202150</v>
      </c>
      <c r="B542" s="6" t="inlineStr">
        <is>
          <t>کلید شیشه بالابر جلوچپ مونتاژماشینی شده CKD DRIVER DSM</t>
        </is>
      </c>
      <c r="C542" s="6" t="inlineStr">
        <is>
          <t>12021500203</t>
        </is>
      </c>
      <c r="D542" s="6" t="inlineStr">
        <is>
          <t>1403/07/30</t>
        </is>
      </c>
      <c r="E542" s="9" t="n"/>
      <c r="F542" s="5" t="n">
        <v>6714</v>
      </c>
      <c r="G542" s="5" t="n">
        <v>1110053</v>
      </c>
      <c r="H542" s="6" t="inlineStr">
        <is>
          <t>Capacitor 100N,100V,X7R,10%</t>
        </is>
      </c>
      <c r="I542" s="6" t="inlineStr">
        <is>
          <t>عدد</t>
        </is>
      </c>
      <c r="J542" s="5" t="n">
        <v>14</v>
      </c>
      <c r="K542" s="5" t="n">
        <v>1</v>
      </c>
      <c r="L542" s="6" t="inlineStr">
        <is>
          <t>1</t>
        </is>
      </c>
      <c r="M542" s="5" t="n">
        <v>2</v>
      </c>
      <c r="N542" s="5" t="n">
        <v>50</v>
      </c>
      <c r="O542" s="5">
        <f>N542</f>
        <v>50</v>
      </c>
      <c r="P542" s="6" t="inlineStr">
        <is>
          <t>سهم درصد استفاده BOM</t>
        </is>
      </c>
      <c r="Q542" s="5">
        <f>SUMIFS('ورودی برنامه'!$D$4:$D$16,'ورودی برنامه'!$A$4:$A$16,A542,'ورودی برنامه'!$C$4:$C$16,C542)</f>
        <v>1000</v>
      </c>
      <c r="R542" s="5">
        <f>SUMIFS('ورودی برنامه'!$E$4:$E$16,'ورودی برنامه'!$A$4:$A$16,A542,'ورودی برنامه'!$C$4:$C$16,C542)</f>
        <v>0</v>
      </c>
      <c r="S542" s="5">
        <f>ROUND(Q542*J542/K542*O542/100,10)</f>
        <v>7000</v>
      </c>
      <c r="T542" s="5">
        <f>ROUND(R542*J542/K542*O542/100,10)</f>
        <v>0</v>
      </c>
      <c r="U542" s="5" t="n">
        <v>0</v>
      </c>
      <c r="V542" s="5" t="n">
        <v>0</v>
      </c>
    </row>
    <row r="543" ht="20" customHeight="1">
      <c r="A543" s="10" t="n">
        <v>1202150</v>
      </c>
      <c r="B543" s="11" t="inlineStr">
        <is>
          <t>کلید شیشه بالابر جلوچپ مونتاژماشینی شده CKD DRIVER DSM</t>
        </is>
      </c>
      <c r="C543" s="11" t="inlineStr">
        <is>
          <t>12021500203</t>
        </is>
      </c>
      <c r="D543" s="11" t="inlineStr">
        <is>
          <t>1403/07/30</t>
        </is>
      </c>
      <c r="E543" s="13" t="n"/>
      <c r="F543" s="10" t="n">
        <v>10166</v>
      </c>
      <c r="G543" s="10" t="n">
        <v>1110042</v>
      </c>
      <c r="H543" s="11" t="inlineStr">
        <is>
          <t>Capacitor 10N,50V,X7R,10%-</t>
        </is>
      </c>
      <c r="I543" s="11" t="inlineStr">
        <is>
          <t>عدد</t>
        </is>
      </c>
      <c r="J543" s="10" t="n">
        <v>2</v>
      </c>
      <c r="K543" s="10" t="n">
        <v>1</v>
      </c>
      <c r="L543" s="11" t="inlineStr">
        <is>
          <t>2</t>
        </is>
      </c>
      <c r="M543" s="10" t="n">
        <v>1</v>
      </c>
      <c r="N543" s="10" t="n">
        <v>50</v>
      </c>
      <c r="O543" s="10">
        <f>N543</f>
        <v>50</v>
      </c>
      <c r="P543" s="11" t="inlineStr">
        <is>
          <t>سهم درصد استفاده BOM</t>
        </is>
      </c>
      <c r="Q543" s="10">
        <f>SUMIFS('ورودی برنامه'!$D$4:$D$16,'ورودی برنامه'!$A$4:$A$16,A543,'ورودی برنامه'!$C$4:$C$16,C543)</f>
        <v>1000</v>
      </c>
      <c r="R543" s="10">
        <f>SUMIFS('ورودی برنامه'!$E$4:$E$16,'ورودی برنامه'!$A$4:$A$16,A543,'ورودی برنامه'!$C$4:$C$16,C543)</f>
        <v>0</v>
      </c>
      <c r="S543" s="10">
        <f>ROUND(Q543*J543/K543*O543/100,10)</f>
        <v>1000</v>
      </c>
      <c r="T543" s="10">
        <f>ROUND(R543*J543/K543*O543/100,10)</f>
        <v>0</v>
      </c>
      <c r="U543" s="10" t="n">
        <v>2000</v>
      </c>
      <c r="V543" s="10" t="n">
        <v>0</v>
      </c>
    </row>
    <row r="544" ht="20" customHeight="1">
      <c r="A544" s="5" t="n">
        <v>1202150</v>
      </c>
      <c r="B544" s="6" t="inlineStr">
        <is>
          <t>کلید شیشه بالابر جلوچپ مونتاژماشینی شده CKD DRIVER DSM</t>
        </is>
      </c>
      <c r="C544" s="6" t="inlineStr">
        <is>
          <t>12021500203</t>
        </is>
      </c>
      <c r="D544" s="6" t="inlineStr">
        <is>
          <t>1403/07/30</t>
        </is>
      </c>
      <c r="E544" s="9" t="n"/>
      <c r="F544" s="5" t="n">
        <v>10244</v>
      </c>
      <c r="G544" s="5" t="n">
        <v>1110050</v>
      </c>
      <c r="H544" s="6" t="inlineStr">
        <is>
          <t>Capacitor 47N, 50V, X7R, 10%</t>
        </is>
      </c>
      <c r="I544" s="6" t="inlineStr">
        <is>
          <t>عدد</t>
        </is>
      </c>
      <c r="J544" s="5" t="n">
        <v>1</v>
      </c>
      <c r="K544" s="5" t="n">
        <v>1</v>
      </c>
      <c r="L544" s="6" t="inlineStr">
        <is>
          <t>-</t>
        </is>
      </c>
      <c r="M544" s="9" t="n"/>
      <c r="N544" s="9" t="n"/>
      <c r="O544" s="5" t="n">
        <v>100</v>
      </c>
      <c r="P544" s="6" t="inlineStr">
        <is>
          <t>مصرف مستقیم</t>
        </is>
      </c>
      <c r="Q544" s="5">
        <f>SUMIFS('ورودی برنامه'!$D$4:$D$16,'ورودی برنامه'!$A$4:$A$16,A544,'ورودی برنامه'!$C$4:$C$16,C544)</f>
        <v>1000</v>
      </c>
      <c r="R544" s="5">
        <f>SUMIFS('ورودی برنامه'!$E$4:$E$16,'ورودی برنامه'!$A$4:$A$16,A544,'ورودی برنامه'!$C$4:$C$16,C544)</f>
        <v>0</v>
      </c>
      <c r="S544" s="5">
        <f>ROUND(Q544*J544/K544*O544/100,10)</f>
        <v>1000</v>
      </c>
      <c r="T544" s="5">
        <f>ROUND(R544*J544/K544*O544/100,10)</f>
        <v>0</v>
      </c>
      <c r="U544" s="5" t="n">
        <v>1000</v>
      </c>
      <c r="V544" s="5" t="n">
        <v>0</v>
      </c>
    </row>
    <row r="545" ht="20" customHeight="1">
      <c r="A545" s="10" t="n">
        <v>1202150</v>
      </c>
      <c r="B545" s="11" t="inlineStr">
        <is>
          <t>کلید شیشه بالابر جلوچپ مونتاژماشینی شده CKD DRIVER DSM</t>
        </is>
      </c>
      <c r="C545" s="11" t="inlineStr">
        <is>
          <t>12021500203</t>
        </is>
      </c>
      <c r="D545" s="11" t="inlineStr">
        <is>
          <t>1403/07/30</t>
        </is>
      </c>
      <c r="E545" s="13" t="n"/>
      <c r="F545" s="10" t="n">
        <v>10285</v>
      </c>
      <c r="G545" s="10" t="n">
        <v>1110052</v>
      </c>
      <c r="H545" s="11" t="inlineStr">
        <is>
          <t>Capacitor 100N,50V,X7R,10%</t>
        </is>
      </c>
      <c r="I545" s="11" t="inlineStr">
        <is>
          <t>عدد</t>
        </is>
      </c>
      <c r="J545" s="10" t="n">
        <v>14</v>
      </c>
      <c r="K545" s="10" t="n">
        <v>1</v>
      </c>
      <c r="L545" s="11" t="inlineStr">
        <is>
          <t>1</t>
        </is>
      </c>
      <c r="M545" s="10" t="n">
        <v>1</v>
      </c>
      <c r="N545" s="10" t="n">
        <v>50</v>
      </c>
      <c r="O545" s="10">
        <f>N545</f>
        <v>50</v>
      </c>
      <c r="P545" s="11" t="inlineStr">
        <is>
          <t>سهم درصد استفاده BOM</t>
        </is>
      </c>
      <c r="Q545" s="10">
        <f>SUMIFS('ورودی برنامه'!$D$4:$D$16,'ورودی برنامه'!$A$4:$A$16,A545,'ورودی برنامه'!$C$4:$C$16,C545)</f>
        <v>1000</v>
      </c>
      <c r="R545" s="10">
        <f>SUMIFS('ورودی برنامه'!$E$4:$E$16,'ورودی برنامه'!$A$4:$A$16,A545,'ورودی برنامه'!$C$4:$C$16,C545)</f>
        <v>0</v>
      </c>
      <c r="S545" s="10">
        <f>ROUND(Q545*J545/K545*O545/100,10)</f>
        <v>7000</v>
      </c>
      <c r="T545" s="10">
        <f>ROUND(R545*J545/K545*O545/100,10)</f>
        <v>0</v>
      </c>
      <c r="U545" s="10" t="n">
        <v>14000</v>
      </c>
      <c r="V545" s="10" t="n">
        <v>0</v>
      </c>
    </row>
    <row r="546" ht="20" customHeight="1">
      <c r="A546" s="5" t="n">
        <v>1202150</v>
      </c>
      <c r="B546" s="6" t="inlineStr">
        <is>
          <t>کلید شیشه بالابر جلوچپ مونتاژماشینی شده CKD DRIVER DSM</t>
        </is>
      </c>
      <c r="C546" s="6" t="inlineStr">
        <is>
          <t>12021500203</t>
        </is>
      </c>
      <c r="D546" s="6" t="inlineStr">
        <is>
          <t>1403/07/30</t>
        </is>
      </c>
      <c r="E546" s="9" t="n"/>
      <c r="F546" s="5" t="n">
        <v>10555</v>
      </c>
      <c r="G546" s="5" t="n">
        <v>1110208</v>
      </c>
      <c r="H546" s="6" t="inlineStr">
        <is>
          <t>Resistor 100,1%,1/8W</t>
        </is>
      </c>
      <c r="I546" s="6" t="inlineStr">
        <is>
          <t>عدد</t>
        </is>
      </c>
      <c r="J546" s="5" t="n">
        <v>7</v>
      </c>
      <c r="K546" s="5" t="n">
        <v>1</v>
      </c>
      <c r="L546" s="6" t="inlineStr">
        <is>
          <t>10</t>
        </is>
      </c>
      <c r="M546" s="5" t="n">
        <v>2</v>
      </c>
      <c r="N546" s="5" t="n">
        <v>50</v>
      </c>
      <c r="O546" s="5">
        <f>N546</f>
        <v>50</v>
      </c>
      <c r="P546" s="6" t="inlineStr">
        <is>
          <t>سهم درصد استفاده BOM</t>
        </is>
      </c>
      <c r="Q546" s="5">
        <f>SUMIFS('ورودی برنامه'!$D$4:$D$16,'ورودی برنامه'!$A$4:$A$16,A546,'ورودی برنامه'!$C$4:$C$16,C546)</f>
        <v>1000</v>
      </c>
      <c r="R546" s="5">
        <f>SUMIFS('ورودی برنامه'!$E$4:$E$16,'ورودی برنامه'!$A$4:$A$16,A546,'ورودی برنامه'!$C$4:$C$16,C546)</f>
        <v>0</v>
      </c>
      <c r="S546" s="5">
        <f>ROUND(Q546*J546/K546*O546/100,10)</f>
        <v>3500</v>
      </c>
      <c r="T546" s="5">
        <f>ROUND(R546*J546/K546*O546/100,10)</f>
        <v>0</v>
      </c>
      <c r="U546" s="5" t="n">
        <v>0</v>
      </c>
      <c r="V546" s="5" t="n">
        <v>0</v>
      </c>
    </row>
    <row r="547" ht="20" customHeight="1">
      <c r="A547" s="10" t="n">
        <v>1202150</v>
      </c>
      <c r="B547" s="11" t="inlineStr">
        <is>
          <t>کلید شیشه بالابر جلوچپ مونتاژماشینی شده CKD DRIVER DSM</t>
        </is>
      </c>
      <c r="C547" s="11" t="inlineStr">
        <is>
          <t>12021500203</t>
        </is>
      </c>
      <c r="D547" s="11" t="inlineStr">
        <is>
          <t>1403/07/30</t>
        </is>
      </c>
      <c r="E547" s="13" t="n"/>
      <c r="F547" s="10" t="n">
        <v>11041</v>
      </c>
      <c r="G547" s="10" t="n">
        <v>1110280</v>
      </c>
      <c r="H547" s="11" t="inlineStr">
        <is>
          <t>Resistor 1K,1%,1/8W</t>
        </is>
      </c>
      <c r="I547" s="11" t="inlineStr">
        <is>
          <t>عدد</t>
        </is>
      </c>
      <c r="J547" s="10" t="n">
        <v>6</v>
      </c>
      <c r="K547" s="10" t="n">
        <v>1</v>
      </c>
      <c r="L547" s="11" t="inlineStr">
        <is>
          <t>7</t>
        </is>
      </c>
      <c r="M547" s="10" t="n">
        <v>2</v>
      </c>
      <c r="N547" s="10" t="n">
        <v>50</v>
      </c>
      <c r="O547" s="10">
        <f>N547</f>
        <v>50</v>
      </c>
      <c r="P547" s="11" t="inlineStr">
        <is>
          <t>سهم درصد استفاده BOM</t>
        </is>
      </c>
      <c r="Q547" s="10">
        <f>SUMIFS('ورودی برنامه'!$D$4:$D$16,'ورودی برنامه'!$A$4:$A$16,A547,'ورودی برنامه'!$C$4:$C$16,C547)</f>
        <v>1000</v>
      </c>
      <c r="R547" s="10">
        <f>SUMIFS('ورودی برنامه'!$E$4:$E$16,'ورودی برنامه'!$A$4:$A$16,A547,'ورودی برنامه'!$C$4:$C$16,C547)</f>
        <v>0</v>
      </c>
      <c r="S547" s="10">
        <f>ROUND(Q547*J547/K547*O547/100,10)</f>
        <v>3000</v>
      </c>
      <c r="T547" s="10">
        <f>ROUND(R547*J547/K547*O547/100,10)</f>
        <v>0</v>
      </c>
      <c r="U547" s="10" t="n">
        <v>3391</v>
      </c>
      <c r="V547" s="10" t="n">
        <v>0</v>
      </c>
    </row>
    <row r="548" ht="20" customHeight="1">
      <c r="A548" s="5" t="n">
        <v>1202150</v>
      </c>
      <c r="B548" s="6" t="inlineStr">
        <is>
          <t>کلید شیشه بالابر جلوچپ مونتاژماشینی شده CKD DRIVER DSM</t>
        </is>
      </c>
      <c r="C548" s="6" t="inlineStr">
        <is>
          <t>12021500203</t>
        </is>
      </c>
      <c r="D548" s="6" t="inlineStr">
        <is>
          <t>1403/07/30</t>
        </is>
      </c>
      <c r="E548" s="9" t="n"/>
      <c r="F548" s="5" t="n">
        <v>11177</v>
      </c>
      <c r="G548" s="5" t="n">
        <v>1110282</v>
      </c>
      <c r="H548" s="6" t="inlineStr">
        <is>
          <t>Resistor 1K,5%,1/8W</t>
        </is>
      </c>
      <c r="I548" s="6" t="inlineStr">
        <is>
          <t>عدد</t>
        </is>
      </c>
      <c r="J548" s="5" t="n">
        <v>6</v>
      </c>
      <c r="K548" s="5" t="n">
        <v>1</v>
      </c>
      <c r="L548" s="6" t="inlineStr">
        <is>
          <t>7</t>
        </is>
      </c>
      <c r="M548" s="5" t="n">
        <v>1</v>
      </c>
      <c r="N548" s="5" t="n">
        <v>50</v>
      </c>
      <c r="O548" s="5">
        <f>N548</f>
        <v>50</v>
      </c>
      <c r="P548" s="6" t="inlineStr">
        <is>
          <t>سهم درصد استفاده BOM</t>
        </is>
      </c>
      <c r="Q548" s="5">
        <f>SUMIFS('ورودی برنامه'!$D$4:$D$16,'ورودی برنامه'!$A$4:$A$16,A548,'ورودی برنامه'!$C$4:$C$16,C548)</f>
        <v>1000</v>
      </c>
      <c r="R548" s="5">
        <f>SUMIFS('ورودی برنامه'!$E$4:$E$16,'ورودی برنامه'!$A$4:$A$16,A548,'ورودی برنامه'!$C$4:$C$16,C548)</f>
        <v>0</v>
      </c>
      <c r="S548" s="5">
        <f>ROUND(Q548*J548/K548*O548/100,10)</f>
        <v>3000</v>
      </c>
      <c r="T548" s="5">
        <f>ROUND(R548*J548/K548*O548/100,10)</f>
        <v>0</v>
      </c>
      <c r="U548" s="5" t="n">
        <v>2609</v>
      </c>
      <c r="V548" s="5" t="n">
        <v>0</v>
      </c>
    </row>
    <row r="549" ht="20" customHeight="1">
      <c r="A549" s="10" t="n">
        <v>1202150</v>
      </c>
      <c r="B549" s="11" t="inlineStr">
        <is>
          <t>کلید شیشه بالابر جلوچپ مونتاژماشینی شده CKD DRIVER DSM</t>
        </is>
      </c>
      <c r="C549" s="11" t="inlineStr">
        <is>
          <t>12021500203</t>
        </is>
      </c>
      <c r="D549" s="11" t="inlineStr">
        <is>
          <t>1403/07/30</t>
        </is>
      </c>
      <c r="E549" s="13" t="n"/>
      <c r="F549" s="10" t="n">
        <v>11691</v>
      </c>
      <c r="G549" s="10" t="n">
        <v>1110302</v>
      </c>
      <c r="H549" s="11" t="inlineStr">
        <is>
          <t>Resistor 4.7K,1%,1/8W</t>
        </is>
      </c>
      <c r="I549" s="11" t="inlineStr">
        <is>
          <t>عدد</t>
        </is>
      </c>
      <c r="J549" s="10" t="n">
        <v>1</v>
      </c>
      <c r="K549" s="10" t="n">
        <v>1</v>
      </c>
      <c r="L549" s="11" t="inlineStr">
        <is>
          <t>11</t>
        </is>
      </c>
      <c r="M549" s="10" t="n">
        <v>2</v>
      </c>
      <c r="N549" s="10" t="n">
        <v>50</v>
      </c>
      <c r="O549" s="10">
        <f>N549</f>
        <v>50</v>
      </c>
      <c r="P549" s="11" t="inlineStr">
        <is>
          <t>سهم درصد استفاده BOM</t>
        </is>
      </c>
      <c r="Q549" s="10">
        <f>SUMIFS('ورودی برنامه'!$D$4:$D$16,'ورودی برنامه'!$A$4:$A$16,A549,'ورودی برنامه'!$C$4:$C$16,C549)</f>
        <v>1000</v>
      </c>
      <c r="R549" s="10">
        <f>SUMIFS('ورودی برنامه'!$E$4:$E$16,'ورودی برنامه'!$A$4:$A$16,A549,'ورودی برنامه'!$C$4:$C$16,C549)</f>
        <v>0</v>
      </c>
      <c r="S549" s="10">
        <f>ROUND(Q549*J549/K549*O549/100,10)</f>
        <v>500</v>
      </c>
      <c r="T549" s="10">
        <f>ROUND(R549*J549/K549*O549/100,10)</f>
        <v>0</v>
      </c>
      <c r="U549" s="10" t="n">
        <v>0</v>
      </c>
      <c r="V549" s="10" t="n">
        <v>0</v>
      </c>
    </row>
    <row r="550" ht="20" customHeight="1">
      <c r="A550" s="5" t="n">
        <v>1202150</v>
      </c>
      <c r="B550" s="6" t="inlineStr">
        <is>
          <t>کلید شیشه بالابر جلوچپ مونتاژماشینی شده CKD DRIVER DSM</t>
        </is>
      </c>
      <c r="C550" s="6" t="inlineStr">
        <is>
          <t>12021500203</t>
        </is>
      </c>
      <c r="D550" s="6" t="inlineStr">
        <is>
          <t>1403/07/30</t>
        </is>
      </c>
      <c r="E550" s="9" t="n"/>
      <c r="F550" s="5" t="n">
        <v>11813</v>
      </c>
      <c r="G550" s="5" t="n">
        <v>1110304</v>
      </c>
      <c r="H550" s="6" t="inlineStr">
        <is>
          <t>Resistor 4.7K,5%,1/8W</t>
        </is>
      </c>
      <c r="I550" s="6" t="inlineStr">
        <is>
          <t>عدد</t>
        </is>
      </c>
      <c r="J550" s="5" t="n">
        <v>1</v>
      </c>
      <c r="K550" s="5" t="n">
        <v>1</v>
      </c>
      <c r="L550" s="6" t="inlineStr">
        <is>
          <t>11</t>
        </is>
      </c>
      <c r="M550" s="5" t="n">
        <v>1</v>
      </c>
      <c r="N550" s="5" t="n">
        <v>50</v>
      </c>
      <c r="O550" s="5">
        <f>N550</f>
        <v>50</v>
      </c>
      <c r="P550" s="6" t="inlineStr">
        <is>
          <t>سهم درصد استفاده BOM</t>
        </is>
      </c>
      <c r="Q550" s="5">
        <f>SUMIFS('ورودی برنامه'!$D$4:$D$16,'ورودی برنامه'!$A$4:$A$16,A550,'ورودی برنامه'!$C$4:$C$16,C550)</f>
        <v>1000</v>
      </c>
      <c r="R550" s="5">
        <f>SUMIFS('ورودی برنامه'!$E$4:$E$16,'ورودی برنامه'!$A$4:$A$16,A550,'ورودی برنامه'!$C$4:$C$16,C550)</f>
        <v>0</v>
      </c>
      <c r="S550" s="5">
        <f>ROUND(Q550*J550/K550*O550/100,10)</f>
        <v>500</v>
      </c>
      <c r="T550" s="5">
        <f>ROUND(R550*J550/K550*O550/100,10)</f>
        <v>0</v>
      </c>
      <c r="U550" s="5" t="n">
        <v>1000</v>
      </c>
      <c r="V550" s="5" t="n">
        <v>0</v>
      </c>
    </row>
    <row r="551" ht="20" customHeight="1">
      <c r="A551" s="10" t="n">
        <v>1202150</v>
      </c>
      <c r="B551" s="11" t="inlineStr">
        <is>
          <t>کلید شیشه بالابر جلوچپ مونتاژماشینی شده CKD DRIVER DSM</t>
        </is>
      </c>
      <c r="C551" s="11" t="inlineStr">
        <is>
          <t>12021500203</t>
        </is>
      </c>
      <c r="D551" s="11" t="inlineStr">
        <is>
          <t>1403/07/30</t>
        </is>
      </c>
      <c r="E551" s="13" t="n"/>
      <c r="F551" s="10" t="n">
        <v>11990</v>
      </c>
      <c r="G551" s="10" t="n">
        <v>1110310</v>
      </c>
      <c r="H551" s="11" t="inlineStr">
        <is>
          <t>Resistor 10K,1%,1/8W</t>
        </is>
      </c>
      <c r="I551" s="11" t="inlineStr">
        <is>
          <t>عدد</t>
        </is>
      </c>
      <c r="J551" s="10" t="n">
        <v>12</v>
      </c>
      <c r="K551" s="10" t="n">
        <v>1</v>
      </c>
      <c r="L551" s="11" t="inlineStr">
        <is>
          <t>9</t>
        </is>
      </c>
      <c r="M551" s="10" t="n">
        <v>2</v>
      </c>
      <c r="N551" s="10" t="n">
        <v>50</v>
      </c>
      <c r="O551" s="10">
        <f>N551</f>
        <v>50</v>
      </c>
      <c r="P551" s="11" t="inlineStr">
        <is>
          <t>سهم درصد استفاده BOM</t>
        </is>
      </c>
      <c r="Q551" s="10">
        <f>SUMIFS('ورودی برنامه'!$D$4:$D$16,'ورودی برنامه'!$A$4:$A$16,A551,'ورودی برنامه'!$C$4:$C$16,C551)</f>
        <v>1000</v>
      </c>
      <c r="R551" s="10">
        <f>SUMIFS('ورودی برنامه'!$E$4:$E$16,'ورودی برنامه'!$A$4:$A$16,A551,'ورودی برنامه'!$C$4:$C$16,C551)</f>
        <v>0</v>
      </c>
      <c r="S551" s="10">
        <f>ROUND(Q551*J551/K551*O551/100,10)</f>
        <v>6000</v>
      </c>
      <c r="T551" s="10">
        <f>ROUND(R551*J551/K551*O551/100,10)</f>
        <v>0</v>
      </c>
      <c r="U551" s="10" t="n">
        <v>0</v>
      </c>
      <c r="V551" s="10" t="n">
        <v>0</v>
      </c>
    </row>
    <row r="552" ht="20" customHeight="1">
      <c r="A552" s="5" t="n">
        <v>1202150</v>
      </c>
      <c r="B552" s="6" t="inlineStr">
        <is>
          <t>کلید شیشه بالابر جلوچپ مونتاژماشینی شده CKD DRIVER DSM</t>
        </is>
      </c>
      <c r="C552" s="6" t="inlineStr">
        <is>
          <t>12021500203</t>
        </is>
      </c>
      <c r="D552" s="6" t="inlineStr">
        <is>
          <t>1403/07/30</t>
        </is>
      </c>
      <c r="E552" s="9" t="n"/>
      <c r="F552" s="5" t="n">
        <v>12159</v>
      </c>
      <c r="G552" s="5" t="n">
        <v>1110318</v>
      </c>
      <c r="H552" s="6" t="inlineStr">
        <is>
          <t>Resistor 27K,1%,1/8W</t>
        </is>
      </c>
      <c r="I552" s="6" t="inlineStr">
        <is>
          <t>عدد</t>
        </is>
      </c>
      <c r="J552" s="5" t="n">
        <v>1</v>
      </c>
      <c r="K552" s="5" t="n">
        <v>1</v>
      </c>
      <c r="L552" s="6" t="inlineStr">
        <is>
          <t>12</t>
        </is>
      </c>
      <c r="M552" s="5" t="n">
        <v>2</v>
      </c>
      <c r="N552" s="5" t="n">
        <v>50</v>
      </c>
      <c r="O552" s="5">
        <f>N552</f>
        <v>50</v>
      </c>
      <c r="P552" s="6" t="inlineStr">
        <is>
          <t>سهم درصد استفاده BOM</t>
        </is>
      </c>
      <c r="Q552" s="5">
        <f>SUMIFS('ورودی برنامه'!$D$4:$D$16,'ورودی برنامه'!$A$4:$A$16,A552,'ورودی برنامه'!$C$4:$C$16,C552)</f>
        <v>1000</v>
      </c>
      <c r="R552" s="5">
        <f>SUMIFS('ورودی برنامه'!$E$4:$E$16,'ورودی برنامه'!$A$4:$A$16,A552,'ورودی برنامه'!$C$4:$C$16,C552)</f>
        <v>0</v>
      </c>
      <c r="S552" s="5">
        <f>ROUND(Q552*J552/K552*O552/100,10)</f>
        <v>500</v>
      </c>
      <c r="T552" s="5">
        <f>ROUND(R552*J552/K552*O552/100,10)</f>
        <v>0</v>
      </c>
      <c r="U552" s="5" t="n">
        <v>0</v>
      </c>
      <c r="V552" s="5" t="n">
        <v>0</v>
      </c>
    </row>
    <row r="553" ht="20" customHeight="1">
      <c r="A553" s="10" t="n">
        <v>1202150</v>
      </c>
      <c r="B553" s="11" t="inlineStr">
        <is>
          <t>کلید شیشه بالابر جلوچپ مونتاژماشینی شده CKD DRIVER DSM</t>
        </is>
      </c>
      <c r="C553" s="11" t="inlineStr">
        <is>
          <t>12021500203</t>
        </is>
      </c>
      <c r="D553" s="11" t="inlineStr">
        <is>
          <t>1403/07/30</t>
        </is>
      </c>
      <c r="E553" s="13" t="n"/>
      <c r="F553" s="10" t="n">
        <v>12160</v>
      </c>
      <c r="G553" s="10" t="n">
        <v>1110320</v>
      </c>
      <c r="H553" s="11" t="inlineStr">
        <is>
          <t>Resistor 27K,5%,1/8W</t>
        </is>
      </c>
      <c r="I553" s="11" t="inlineStr">
        <is>
          <t>عدد</t>
        </is>
      </c>
      <c r="J553" s="10" t="n">
        <v>1</v>
      </c>
      <c r="K553" s="10" t="n">
        <v>1</v>
      </c>
      <c r="L553" s="11" t="inlineStr">
        <is>
          <t>12</t>
        </is>
      </c>
      <c r="M553" s="10" t="n">
        <v>1</v>
      </c>
      <c r="N553" s="10" t="n">
        <v>50</v>
      </c>
      <c r="O553" s="10">
        <f>N553</f>
        <v>50</v>
      </c>
      <c r="P553" s="11" t="inlineStr">
        <is>
          <t>سهم درصد استفاده BOM</t>
        </is>
      </c>
      <c r="Q553" s="10">
        <f>SUMIFS('ورودی برنامه'!$D$4:$D$16,'ورودی برنامه'!$A$4:$A$16,A553,'ورودی برنامه'!$C$4:$C$16,C553)</f>
        <v>1000</v>
      </c>
      <c r="R553" s="10">
        <f>SUMIFS('ورودی برنامه'!$E$4:$E$16,'ورودی برنامه'!$A$4:$A$16,A553,'ورودی برنامه'!$C$4:$C$16,C553)</f>
        <v>0</v>
      </c>
      <c r="S553" s="10">
        <f>ROUND(Q553*J553/K553*O553/100,10)</f>
        <v>500</v>
      </c>
      <c r="T553" s="10">
        <f>ROUND(R553*J553/K553*O553/100,10)</f>
        <v>0</v>
      </c>
      <c r="U553" s="10" t="n">
        <v>1000</v>
      </c>
      <c r="V553" s="10" t="n">
        <v>0</v>
      </c>
    </row>
    <row r="554" ht="20" customHeight="1">
      <c r="A554" s="5" t="n">
        <v>1202150</v>
      </c>
      <c r="B554" s="6" t="inlineStr">
        <is>
          <t>کلید شیشه بالابر جلوچپ مونتاژماشینی شده CKD DRIVER DSM</t>
        </is>
      </c>
      <c r="C554" s="6" t="inlineStr">
        <is>
          <t>12021500203</t>
        </is>
      </c>
      <c r="D554" s="6" t="inlineStr">
        <is>
          <t>1403/07/30</t>
        </is>
      </c>
      <c r="E554" s="9" t="n"/>
      <c r="F554" s="5" t="n">
        <v>12386</v>
      </c>
      <c r="G554" s="5" t="n">
        <v>1110332</v>
      </c>
      <c r="H554" s="6" t="inlineStr">
        <is>
          <t>Resistor 100K,1%,1/8W</t>
        </is>
      </c>
      <c r="I554" s="6" t="inlineStr">
        <is>
          <t>عدد</t>
        </is>
      </c>
      <c r="J554" s="5" t="n">
        <v>1</v>
      </c>
      <c r="K554" s="5" t="n">
        <v>1</v>
      </c>
      <c r="L554" s="6" t="inlineStr">
        <is>
          <t>-</t>
        </is>
      </c>
      <c r="M554" s="9" t="n"/>
      <c r="N554" s="9" t="n"/>
      <c r="O554" s="5" t="n">
        <v>100</v>
      </c>
      <c r="P554" s="6" t="inlineStr">
        <is>
          <t>مصرف مستقیم</t>
        </is>
      </c>
      <c r="Q554" s="5">
        <f>SUMIFS('ورودی برنامه'!$D$4:$D$16,'ورودی برنامه'!$A$4:$A$16,A554,'ورودی برنامه'!$C$4:$C$16,C554)</f>
        <v>1000</v>
      </c>
      <c r="R554" s="5">
        <f>SUMIFS('ورودی برنامه'!$E$4:$E$16,'ورودی برنامه'!$A$4:$A$16,A554,'ورودی برنامه'!$C$4:$C$16,C554)</f>
        <v>0</v>
      </c>
      <c r="S554" s="5">
        <f>ROUND(Q554*J554/K554*O554/100,10)</f>
        <v>1000</v>
      </c>
      <c r="T554" s="5">
        <f>ROUND(R554*J554/K554*O554/100,10)</f>
        <v>0</v>
      </c>
      <c r="U554" s="5" t="n">
        <v>1000</v>
      </c>
      <c r="V554" s="5" t="n">
        <v>0</v>
      </c>
    </row>
    <row r="555" ht="20" customHeight="1">
      <c r="A555" s="10" t="n">
        <v>1202150</v>
      </c>
      <c r="B555" s="11" t="inlineStr">
        <is>
          <t>کلید شیشه بالابر جلوچپ مونتاژماشینی شده CKD DRIVER DSM</t>
        </is>
      </c>
      <c r="C555" s="11" t="inlineStr">
        <is>
          <t>12021500203</t>
        </is>
      </c>
      <c r="D555" s="11" t="inlineStr">
        <is>
          <t>1403/07/30</t>
        </is>
      </c>
      <c r="E555" s="13" t="n"/>
      <c r="F555" s="10" t="n">
        <v>12709</v>
      </c>
      <c r="G555" s="10" t="n">
        <v>1110600</v>
      </c>
      <c r="H555" s="11" t="inlineStr">
        <is>
          <t>Transistor BC817-40</t>
        </is>
      </c>
      <c r="I555" s="11" t="inlineStr">
        <is>
          <t>عدد</t>
        </is>
      </c>
      <c r="J555" s="10" t="n">
        <v>1</v>
      </c>
      <c r="K555" s="10" t="n">
        <v>1</v>
      </c>
      <c r="L555" s="11" t="inlineStr">
        <is>
          <t>-</t>
        </is>
      </c>
      <c r="M555" s="13" t="n"/>
      <c r="N555" s="13" t="n"/>
      <c r="O555" s="10" t="n">
        <v>100</v>
      </c>
      <c r="P555" s="11" t="inlineStr">
        <is>
          <t>مصرف مستقیم</t>
        </is>
      </c>
      <c r="Q555" s="10">
        <f>SUMIFS('ورودی برنامه'!$D$4:$D$16,'ورودی برنامه'!$A$4:$A$16,A555,'ورودی برنامه'!$C$4:$C$16,C555)</f>
        <v>1000</v>
      </c>
      <c r="R555" s="10">
        <f>SUMIFS('ورودی برنامه'!$E$4:$E$16,'ورودی برنامه'!$A$4:$A$16,A555,'ورودی برنامه'!$C$4:$C$16,C555)</f>
        <v>0</v>
      </c>
      <c r="S555" s="10">
        <f>ROUND(Q555*J555/K555*O555/100,10)</f>
        <v>1000</v>
      </c>
      <c r="T555" s="10">
        <f>ROUND(R555*J555/K555*O555/100,10)</f>
        <v>0</v>
      </c>
      <c r="U555" s="10" t="n">
        <v>1000</v>
      </c>
      <c r="V555" s="10" t="n">
        <v>0</v>
      </c>
    </row>
    <row r="556" ht="20" customHeight="1">
      <c r="A556" s="5" t="n">
        <v>1202150</v>
      </c>
      <c r="B556" s="6" t="inlineStr">
        <is>
          <t>کلید شیشه بالابر جلوچپ مونتاژماشینی شده CKD DRIVER DSM</t>
        </is>
      </c>
      <c r="C556" s="6" t="inlineStr">
        <is>
          <t>12021500203</t>
        </is>
      </c>
      <c r="D556" s="6" t="inlineStr">
        <is>
          <t>1403/07/30</t>
        </is>
      </c>
      <c r="E556" s="9" t="n"/>
      <c r="F556" s="5" t="n">
        <v>13370</v>
      </c>
      <c r="G556" s="5" t="n">
        <v>1110902</v>
      </c>
      <c r="H556" s="6" t="inlineStr">
        <is>
          <t>Diode 1N4004 SMT</t>
        </is>
      </c>
      <c r="I556" s="6" t="inlineStr">
        <is>
          <t>عدد</t>
        </is>
      </c>
      <c r="J556" s="5" t="n">
        <v>2</v>
      </c>
      <c r="K556" s="5" t="n">
        <v>1</v>
      </c>
      <c r="L556" s="6" t="inlineStr">
        <is>
          <t>4</t>
        </is>
      </c>
      <c r="M556" s="5" t="n">
        <v>2</v>
      </c>
      <c r="N556" s="5" t="n">
        <v>50</v>
      </c>
      <c r="O556" s="5">
        <f>N556</f>
        <v>50</v>
      </c>
      <c r="P556" s="6" t="inlineStr">
        <is>
          <t>سهم درصد استفاده BOM</t>
        </is>
      </c>
      <c r="Q556" s="5">
        <f>SUMIFS('ورودی برنامه'!$D$4:$D$16,'ورودی برنامه'!$A$4:$A$16,A556,'ورودی برنامه'!$C$4:$C$16,C556)</f>
        <v>1000</v>
      </c>
      <c r="R556" s="5">
        <f>SUMIFS('ورودی برنامه'!$E$4:$E$16,'ورودی برنامه'!$A$4:$A$16,A556,'ورودی برنامه'!$C$4:$C$16,C556)</f>
        <v>0</v>
      </c>
      <c r="S556" s="5">
        <f>ROUND(Q556*J556/K556*O556/100,10)</f>
        <v>1000</v>
      </c>
      <c r="T556" s="5">
        <f>ROUND(R556*J556/K556*O556/100,10)</f>
        <v>0</v>
      </c>
      <c r="U556" s="5" t="n">
        <v>0</v>
      </c>
      <c r="V556" s="5" t="n">
        <v>0</v>
      </c>
    </row>
    <row r="557" ht="20" customHeight="1">
      <c r="A557" s="10" t="n">
        <v>1202150</v>
      </c>
      <c r="B557" s="11" t="inlineStr">
        <is>
          <t>کلید شیشه بالابر جلوچپ مونتاژماشینی شده CKD DRIVER DSM</t>
        </is>
      </c>
      <c r="C557" s="11" t="inlineStr">
        <is>
          <t>12021500203</t>
        </is>
      </c>
      <c r="D557" s="11" t="inlineStr">
        <is>
          <t>1403/07/30</t>
        </is>
      </c>
      <c r="E557" s="13" t="n"/>
      <c r="F557" s="10" t="n">
        <v>14144</v>
      </c>
      <c r="G557" s="10" t="n">
        <v>1110313</v>
      </c>
      <c r="H557" s="11" t="inlineStr">
        <is>
          <t>Resistor 18K,5%,1/8W</t>
        </is>
      </c>
      <c r="I557" s="11" t="inlineStr">
        <is>
          <t>عدد</t>
        </is>
      </c>
      <c r="J557" s="10" t="n">
        <v>3</v>
      </c>
      <c r="K557" s="10" t="n">
        <v>1</v>
      </c>
      <c r="L557" s="11" t="inlineStr">
        <is>
          <t>-</t>
        </is>
      </c>
      <c r="M557" s="13" t="n"/>
      <c r="N557" s="13" t="n"/>
      <c r="O557" s="10" t="n">
        <v>100</v>
      </c>
      <c r="P557" s="11" t="inlineStr">
        <is>
          <t>مصرف مستقیم</t>
        </is>
      </c>
      <c r="Q557" s="10">
        <f>SUMIFS('ورودی برنامه'!$D$4:$D$16,'ورودی برنامه'!$A$4:$A$16,A557,'ورودی برنامه'!$C$4:$C$16,C557)</f>
        <v>1000</v>
      </c>
      <c r="R557" s="10">
        <f>SUMIFS('ورودی برنامه'!$E$4:$E$16,'ورودی برنامه'!$A$4:$A$16,A557,'ورودی برنامه'!$C$4:$C$16,C557)</f>
        <v>0</v>
      </c>
      <c r="S557" s="10">
        <f>ROUND(Q557*J557/K557*O557/100,10)</f>
        <v>3000</v>
      </c>
      <c r="T557" s="10">
        <f>ROUND(R557*J557/K557*O557/100,10)</f>
        <v>0</v>
      </c>
      <c r="U557" s="10" t="n">
        <v>3000</v>
      </c>
      <c r="V557" s="10" t="n">
        <v>0</v>
      </c>
    </row>
    <row r="558" ht="20" customHeight="1">
      <c r="A558" s="5" t="n">
        <v>1202150</v>
      </c>
      <c r="B558" s="6" t="inlineStr">
        <is>
          <t>کلید شیشه بالابر جلوچپ مونتاژماشینی شده CKD DRIVER DSM</t>
        </is>
      </c>
      <c r="C558" s="6" t="inlineStr">
        <is>
          <t>12021500203</t>
        </is>
      </c>
      <c r="D558" s="6" t="inlineStr">
        <is>
          <t>1403/07/30</t>
        </is>
      </c>
      <c r="E558" s="9" t="n"/>
      <c r="F558" s="5" t="n">
        <v>14152</v>
      </c>
      <c r="G558" s="5" t="n">
        <v>1110311</v>
      </c>
      <c r="H558" s="6" t="inlineStr">
        <is>
          <t>Resistor 10K,5%,1/8W</t>
        </is>
      </c>
      <c r="I558" s="6" t="inlineStr">
        <is>
          <t>عدد</t>
        </is>
      </c>
      <c r="J558" s="5" t="n">
        <v>12</v>
      </c>
      <c r="K558" s="5" t="n">
        <v>1</v>
      </c>
      <c r="L558" s="6" t="inlineStr">
        <is>
          <t>9</t>
        </is>
      </c>
      <c r="M558" s="5" t="n">
        <v>1</v>
      </c>
      <c r="N558" s="5" t="n">
        <v>50</v>
      </c>
      <c r="O558" s="5">
        <f>N558</f>
        <v>50</v>
      </c>
      <c r="P558" s="6" t="inlineStr">
        <is>
          <t>سهم درصد استفاده BOM</t>
        </is>
      </c>
      <c r="Q558" s="5">
        <f>SUMIFS('ورودی برنامه'!$D$4:$D$16,'ورودی برنامه'!$A$4:$A$16,A558,'ورودی برنامه'!$C$4:$C$16,C558)</f>
        <v>1000</v>
      </c>
      <c r="R558" s="5">
        <f>SUMIFS('ورودی برنامه'!$E$4:$E$16,'ورودی برنامه'!$A$4:$A$16,A558,'ورودی برنامه'!$C$4:$C$16,C558)</f>
        <v>0</v>
      </c>
      <c r="S558" s="5">
        <f>ROUND(Q558*J558/K558*O558/100,10)</f>
        <v>6000</v>
      </c>
      <c r="T558" s="5">
        <f>ROUND(R558*J558/K558*O558/100,10)</f>
        <v>0</v>
      </c>
      <c r="U558" s="5" t="n">
        <v>12000</v>
      </c>
      <c r="V558" s="5" t="n">
        <v>0</v>
      </c>
    </row>
    <row r="559" ht="20" customHeight="1">
      <c r="A559" s="10" t="n">
        <v>1202150</v>
      </c>
      <c r="B559" s="11" t="inlineStr">
        <is>
          <t>کلید شیشه بالابر جلوچپ مونتاژماشینی شده CKD DRIVER DSM</t>
        </is>
      </c>
      <c r="C559" s="11" t="inlineStr">
        <is>
          <t>12021500203</t>
        </is>
      </c>
      <c r="D559" s="11" t="inlineStr">
        <is>
          <t>1403/07/30</t>
        </is>
      </c>
      <c r="E559" s="13" t="n"/>
      <c r="F559" s="10" t="n">
        <v>14318</v>
      </c>
      <c r="G559" s="10" t="n">
        <v>1110209</v>
      </c>
      <c r="H559" s="11" t="inlineStr">
        <is>
          <t>Resistor 100,5%,1/8W</t>
        </is>
      </c>
      <c r="I559" s="11" t="inlineStr">
        <is>
          <t>عدد</t>
        </is>
      </c>
      <c r="J559" s="10" t="n">
        <v>7</v>
      </c>
      <c r="K559" s="10" t="n">
        <v>1</v>
      </c>
      <c r="L559" s="11" t="inlineStr">
        <is>
          <t>10</t>
        </is>
      </c>
      <c r="M559" s="10" t="n">
        <v>1</v>
      </c>
      <c r="N559" s="10" t="n">
        <v>50</v>
      </c>
      <c r="O559" s="10">
        <f>N559</f>
        <v>50</v>
      </c>
      <c r="P559" s="11" t="inlineStr">
        <is>
          <t>سهم درصد استفاده BOM</t>
        </is>
      </c>
      <c r="Q559" s="10">
        <f>SUMIFS('ورودی برنامه'!$D$4:$D$16,'ورودی برنامه'!$A$4:$A$16,A559,'ورودی برنامه'!$C$4:$C$16,C559)</f>
        <v>1000</v>
      </c>
      <c r="R559" s="10">
        <f>SUMIFS('ورودی برنامه'!$E$4:$E$16,'ورودی برنامه'!$A$4:$A$16,A559,'ورودی برنامه'!$C$4:$C$16,C559)</f>
        <v>0</v>
      </c>
      <c r="S559" s="10">
        <f>ROUND(Q559*J559/K559*O559/100,10)</f>
        <v>3500</v>
      </c>
      <c r="T559" s="10">
        <f>ROUND(R559*J559/K559*O559/100,10)</f>
        <v>0</v>
      </c>
      <c r="U559" s="10" t="n">
        <v>7000</v>
      </c>
      <c r="V559" s="10" t="n">
        <v>0</v>
      </c>
    </row>
    <row r="560" ht="20" customHeight="1">
      <c r="A560" s="5" t="n">
        <v>1202150</v>
      </c>
      <c r="B560" s="6" t="inlineStr">
        <is>
          <t>کلید شیشه بالابر جلوچپ مونتاژماشینی شده CKD DRIVER DSM</t>
        </is>
      </c>
      <c r="C560" s="6" t="inlineStr">
        <is>
          <t>12021500203</t>
        </is>
      </c>
      <c r="D560" s="6" t="inlineStr">
        <is>
          <t>1403/07/30</t>
        </is>
      </c>
      <c r="E560" s="9" t="n"/>
      <c r="F560" s="5" t="n">
        <v>14818</v>
      </c>
      <c r="G560" s="5" t="n">
        <v>1110331</v>
      </c>
      <c r="H560" s="6" t="inlineStr">
        <is>
          <t>Resistor 10K,5%,1/4W.</t>
        </is>
      </c>
      <c r="I560" s="6" t="inlineStr">
        <is>
          <t>عدد</t>
        </is>
      </c>
      <c r="J560" s="5" t="n">
        <v>1</v>
      </c>
      <c r="K560" s="5" t="n">
        <v>1</v>
      </c>
      <c r="L560" s="6" t="inlineStr">
        <is>
          <t>8</t>
        </is>
      </c>
      <c r="M560" s="5" t="n">
        <v>1</v>
      </c>
      <c r="N560" s="5" t="n">
        <v>50</v>
      </c>
      <c r="O560" s="5">
        <f>N560</f>
        <v>50</v>
      </c>
      <c r="P560" s="6" t="inlineStr">
        <is>
          <t>سهم درصد استفاده BOM</t>
        </is>
      </c>
      <c r="Q560" s="5">
        <f>SUMIFS('ورودی برنامه'!$D$4:$D$16,'ورودی برنامه'!$A$4:$A$16,A560,'ورودی برنامه'!$C$4:$C$16,C560)</f>
        <v>1000</v>
      </c>
      <c r="R560" s="5">
        <f>SUMIFS('ورودی برنامه'!$E$4:$E$16,'ورودی برنامه'!$A$4:$A$16,A560,'ورودی برنامه'!$C$4:$C$16,C560)</f>
        <v>0</v>
      </c>
      <c r="S560" s="5">
        <f>ROUND(Q560*J560/K560*O560/100,10)</f>
        <v>500</v>
      </c>
      <c r="T560" s="5">
        <f>ROUND(R560*J560/K560*O560/100,10)</f>
        <v>0</v>
      </c>
      <c r="U560" s="5" t="n">
        <v>1000</v>
      </c>
      <c r="V560" s="5" t="n">
        <v>0</v>
      </c>
    </row>
    <row r="561" ht="20" customHeight="1">
      <c r="A561" s="10" t="n">
        <v>1202150</v>
      </c>
      <c r="B561" s="11" t="inlineStr">
        <is>
          <t>کلید شیشه بالابر جلوچپ مونتاژماشینی شده CKD DRIVER DSM</t>
        </is>
      </c>
      <c r="C561" s="11" t="inlineStr">
        <is>
          <t>12021500203</t>
        </is>
      </c>
      <c r="D561" s="11" t="inlineStr">
        <is>
          <t>1403/07/30</t>
        </is>
      </c>
      <c r="E561" s="13" t="n"/>
      <c r="F561" s="10" t="n">
        <v>16160</v>
      </c>
      <c r="G561" s="10" t="n">
        <v>1110803</v>
      </c>
      <c r="H561" s="11" t="inlineStr">
        <is>
          <t>Diode Zener 5.6VDC</t>
        </is>
      </c>
      <c r="I561" s="11" t="inlineStr">
        <is>
          <t>عدد</t>
        </is>
      </c>
      <c r="J561" s="10" t="n">
        <v>2</v>
      </c>
      <c r="K561" s="10" t="n">
        <v>1</v>
      </c>
      <c r="L561" s="11" t="inlineStr">
        <is>
          <t>-</t>
        </is>
      </c>
      <c r="M561" s="13" t="n"/>
      <c r="N561" s="13" t="n"/>
      <c r="O561" s="10" t="n">
        <v>100</v>
      </c>
      <c r="P561" s="11" t="inlineStr">
        <is>
          <t>مصرف مستقیم</t>
        </is>
      </c>
      <c r="Q561" s="10">
        <f>SUMIFS('ورودی برنامه'!$D$4:$D$16,'ورودی برنامه'!$A$4:$A$16,A561,'ورودی برنامه'!$C$4:$C$16,C561)</f>
        <v>1000</v>
      </c>
      <c r="R561" s="10">
        <f>SUMIFS('ورودی برنامه'!$E$4:$E$16,'ورودی برنامه'!$A$4:$A$16,A561,'ورودی برنامه'!$C$4:$C$16,C561)</f>
        <v>0</v>
      </c>
      <c r="S561" s="10">
        <f>ROUND(Q561*J561/K561*O561/100,10)</f>
        <v>2000</v>
      </c>
      <c r="T561" s="10">
        <f>ROUND(R561*J561/K561*O561/100,10)</f>
        <v>0</v>
      </c>
      <c r="U561" s="10" t="n">
        <v>2000</v>
      </c>
      <c r="V561" s="10" t="n">
        <v>0</v>
      </c>
    </row>
    <row r="562" ht="20" customHeight="1">
      <c r="A562" s="5" t="n">
        <v>1202150</v>
      </c>
      <c r="B562" s="6" t="inlineStr">
        <is>
          <t>کلید شیشه بالابر جلوچپ مونتاژماشینی شده CKD DRIVER DSM</t>
        </is>
      </c>
      <c r="C562" s="6" t="inlineStr">
        <is>
          <t>12021500203</t>
        </is>
      </c>
      <c r="D562" s="6" t="inlineStr">
        <is>
          <t>1403/07/30</t>
        </is>
      </c>
      <c r="E562" s="9" t="n"/>
      <c r="F562" s="5" t="n">
        <v>18470</v>
      </c>
      <c r="G562" s="5" t="n">
        <v>1110279</v>
      </c>
      <c r="H562" s="6" t="inlineStr">
        <is>
          <t>Resistor 1.4K,1%,1/4W</t>
        </is>
      </c>
      <c r="I562" s="6" t="inlineStr">
        <is>
          <t>عدد</t>
        </is>
      </c>
      <c r="J562" s="5" t="n">
        <v>1</v>
      </c>
      <c r="K562" s="5" t="n">
        <v>1</v>
      </c>
      <c r="L562" s="6" t="inlineStr">
        <is>
          <t>-</t>
        </is>
      </c>
      <c r="M562" s="9" t="n"/>
      <c r="N562" s="9" t="n"/>
      <c r="O562" s="5" t="n">
        <v>100</v>
      </c>
      <c r="P562" s="6" t="inlineStr">
        <is>
          <t>مصرف مستقیم</t>
        </is>
      </c>
      <c r="Q562" s="5">
        <f>SUMIFS('ورودی برنامه'!$D$4:$D$16,'ورودی برنامه'!$A$4:$A$16,A562,'ورودی برنامه'!$C$4:$C$16,C562)</f>
        <v>1000</v>
      </c>
      <c r="R562" s="5">
        <f>SUMIFS('ورودی برنامه'!$E$4:$E$16,'ورودی برنامه'!$A$4:$A$16,A562,'ورودی برنامه'!$C$4:$C$16,C562)</f>
        <v>0</v>
      </c>
      <c r="S562" s="5">
        <f>ROUND(Q562*J562/K562*O562/100,10)</f>
        <v>1000</v>
      </c>
      <c r="T562" s="5">
        <f>ROUND(R562*J562/K562*O562/100,10)</f>
        <v>0</v>
      </c>
      <c r="U562" s="5" t="n">
        <v>1000</v>
      </c>
      <c r="V562" s="5" t="n">
        <v>0</v>
      </c>
    </row>
    <row r="563" ht="20" customHeight="1">
      <c r="A563" s="10" t="n">
        <v>1202150</v>
      </c>
      <c r="B563" s="11" t="inlineStr">
        <is>
          <t>کلید شیشه بالابر جلوچپ مونتاژماشینی شده CKD DRIVER DSM</t>
        </is>
      </c>
      <c r="C563" s="11" t="inlineStr">
        <is>
          <t>12021500203</t>
        </is>
      </c>
      <c r="D563" s="11" t="inlineStr">
        <is>
          <t>1403/07/30</t>
        </is>
      </c>
      <c r="E563" s="13" t="n"/>
      <c r="F563" s="10" t="n">
        <v>18780</v>
      </c>
      <c r="G563" s="10" t="n">
        <v>1110090</v>
      </c>
      <c r="H563" s="11" t="inlineStr">
        <is>
          <t>Capacitor 220uF,35V,20%,105C</t>
        </is>
      </c>
      <c r="I563" s="11" t="inlineStr">
        <is>
          <t>عدد</t>
        </is>
      </c>
      <c r="J563" s="10" t="n">
        <v>1</v>
      </c>
      <c r="K563" s="10" t="n">
        <v>1</v>
      </c>
      <c r="L563" s="11" t="inlineStr">
        <is>
          <t>3</t>
        </is>
      </c>
      <c r="M563" s="10" t="n">
        <v>1</v>
      </c>
      <c r="N563" s="10" t="n">
        <v>50</v>
      </c>
      <c r="O563" s="10">
        <f>N563</f>
        <v>50</v>
      </c>
      <c r="P563" s="11" t="inlineStr">
        <is>
          <t>سهم درصد استفاده BOM</t>
        </is>
      </c>
      <c r="Q563" s="10">
        <f>SUMIFS('ورودی برنامه'!$D$4:$D$16,'ورودی برنامه'!$A$4:$A$16,A563,'ورودی برنامه'!$C$4:$C$16,C563)</f>
        <v>1000</v>
      </c>
      <c r="R563" s="10">
        <f>SUMIFS('ورودی برنامه'!$E$4:$E$16,'ورودی برنامه'!$A$4:$A$16,A563,'ورودی برنامه'!$C$4:$C$16,C563)</f>
        <v>0</v>
      </c>
      <c r="S563" s="10">
        <f>ROUND(Q563*J563/K563*O563/100,10)</f>
        <v>500</v>
      </c>
      <c r="T563" s="10">
        <f>ROUND(R563*J563/K563*O563/100,10)</f>
        <v>0</v>
      </c>
      <c r="U563" s="10" t="n">
        <v>1000</v>
      </c>
      <c r="V563" s="10" t="n">
        <v>0</v>
      </c>
    </row>
    <row r="564" ht="20" customHeight="1">
      <c r="A564" s="5" t="n">
        <v>1202150</v>
      </c>
      <c r="B564" s="6" t="inlineStr">
        <is>
          <t>کلید شیشه بالابر جلوچپ مونتاژماشینی شده CKD DRIVER DSM</t>
        </is>
      </c>
      <c r="C564" s="6" t="inlineStr">
        <is>
          <t>12021500203</t>
        </is>
      </c>
      <c r="D564" s="6" t="inlineStr">
        <is>
          <t>1403/07/30</t>
        </is>
      </c>
      <c r="E564" s="9" t="n"/>
      <c r="F564" s="5" t="n">
        <v>19213</v>
      </c>
      <c r="G564" s="5" t="n">
        <v>1110951</v>
      </c>
      <c r="H564" s="6" t="inlineStr">
        <is>
          <t>Diode Supressor SMBJ28CA-TR</t>
        </is>
      </c>
      <c r="I564" s="6" t="inlineStr">
        <is>
          <t>عدد</t>
        </is>
      </c>
      <c r="J564" s="5" t="n">
        <v>1</v>
      </c>
      <c r="K564" s="5" t="n">
        <v>1</v>
      </c>
      <c r="L564" s="6" t="inlineStr">
        <is>
          <t>-</t>
        </is>
      </c>
      <c r="M564" s="9" t="n"/>
      <c r="N564" s="9" t="n"/>
      <c r="O564" s="5" t="n">
        <v>100</v>
      </c>
      <c r="P564" s="6" t="inlineStr">
        <is>
          <t>مصرف مستقیم</t>
        </is>
      </c>
      <c r="Q564" s="5">
        <f>SUMIFS('ورودی برنامه'!$D$4:$D$16,'ورودی برنامه'!$A$4:$A$16,A564,'ورودی برنامه'!$C$4:$C$16,C564)</f>
        <v>1000</v>
      </c>
      <c r="R564" s="5">
        <f>SUMIFS('ورودی برنامه'!$E$4:$E$16,'ورودی برنامه'!$A$4:$A$16,A564,'ورودی برنامه'!$C$4:$C$16,C564)</f>
        <v>0</v>
      </c>
      <c r="S564" s="5">
        <f>ROUND(Q564*J564/K564*O564/100,10)</f>
        <v>1000</v>
      </c>
      <c r="T564" s="5">
        <f>ROUND(R564*J564/K564*O564/100,10)</f>
        <v>0</v>
      </c>
      <c r="U564" s="5" t="n">
        <v>1000</v>
      </c>
      <c r="V564" s="5" t="n">
        <v>0</v>
      </c>
    </row>
    <row r="565" ht="20" customHeight="1">
      <c r="A565" s="10" t="n">
        <v>1202150</v>
      </c>
      <c r="B565" s="11" t="inlineStr">
        <is>
          <t>کلید شیشه بالابر جلوچپ مونتاژماشینی شده CKD DRIVER DSM</t>
        </is>
      </c>
      <c r="C565" s="11" t="inlineStr">
        <is>
          <t>12021500203</t>
        </is>
      </c>
      <c r="D565" s="11" t="inlineStr">
        <is>
          <t>1403/07/30</t>
        </is>
      </c>
      <c r="E565" s="13" t="n"/>
      <c r="F565" s="10" t="n">
        <v>21681</v>
      </c>
      <c r="G565" s="10" t="n">
        <v>1110085</v>
      </c>
      <c r="H565" s="11" t="inlineStr">
        <is>
          <t>Capacitor 10nF,50V,NPO,5%</t>
        </is>
      </c>
      <c r="I565" s="11" t="inlineStr">
        <is>
          <t>عدد</t>
        </is>
      </c>
      <c r="J565" s="10" t="n">
        <v>2</v>
      </c>
      <c r="K565" s="10" t="n">
        <v>1</v>
      </c>
      <c r="L565" s="11" t="inlineStr">
        <is>
          <t>2</t>
        </is>
      </c>
      <c r="M565" s="10" t="n">
        <v>2</v>
      </c>
      <c r="N565" s="10" t="n">
        <v>50</v>
      </c>
      <c r="O565" s="10">
        <f>N565</f>
        <v>50</v>
      </c>
      <c r="P565" s="11" t="inlineStr">
        <is>
          <t>سهم درصد استفاده BOM</t>
        </is>
      </c>
      <c r="Q565" s="10">
        <f>SUMIFS('ورودی برنامه'!$D$4:$D$16,'ورودی برنامه'!$A$4:$A$16,A565,'ورودی برنامه'!$C$4:$C$16,C565)</f>
        <v>1000</v>
      </c>
      <c r="R565" s="10">
        <f>SUMIFS('ورودی برنامه'!$E$4:$E$16,'ورودی برنامه'!$A$4:$A$16,A565,'ورودی برنامه'!$C$4:$C$16,C565)</f>
        <v>0</v>
      </c>
      <c r="S565" s="10">
        <f>ROUND(Q565*J565/K565*O565/100,10)</f>
        <v>1000</v>
      </c>
      <c r="T565" s="10">
        <f>ROUND(R565*J565/K565*O565/100,10)</f>
        <v>0</v>
      </c>
      <c r="U565" s="10" t="n">
        <v>0</v>
      </c>
      <c r="V565" s="10" t="n">
        <v>0</v>
      </c>
    </row>
    <row r="566" ht="20" customHeight="1">
      <c r="A566" s="5" t="n">
        <v>1202150</v>
      </c>
      <c r="B566" s="6" t="inlineStr">
        <is>
          <t>کلید شیشه بالابر جلوچپ مونتاژماشینی شده CKD DRIVER DSM</t>
        </is>
      </c>
      <c r="C566" s="6" t="inlineStr">
        <is>
          <t>12021500203</t>
        </is>
      </c>
      <c r="D566" s="6" t="inlineStr">
        <is>
          <t>1403/07/30</t>
        </is>
      </c>
      <c r="E566" s="9" t="n"/>
      <c r="F566" s="5" t="n">
        <v>27515</v>
      </c>
      <c r="G566" s="5" t="n">
        <v>1110865</v>
      </c>
      <c r="H566" s="6" t="inlineStr">
        <is>
          <t>LED;IWS-L3022-PW-D1</t>
        </is>
      </c>
      <c r="I566" s="6" t="inlineStr">
        <is>
          <t>عدد</t>
        </is>
      </c>
      <c r="J566" s="5" t="n">
        <v>6</v>
      </c>
      <c r="K566" s="5" t="n">
        <v>1</v>
      </c>
      <c r="L566" s="6" t="inlineStr">
        <is>
          <t>-</t>
        </is>
      </c>
      <c r="M566" s="9" t="n"/>
      <c r="N566" s="9" t="n"/>
      <c r="O566" s="5" t="n">
        <v>100</v>
      </c>
      <c r="P566" s="6" t="inlineStr">
        <is>
          <t>مصرف مستقیم</t>
        </is>
      </c>
      <c r="Q566" s="5">
        <f>SUMIFS('ورودی برنامه'!$D$4:$D$16,'ورودی برنامه'!$A$4:$A$16,A566,'ورودی برنامه'!$C$4:$C$16,C566)</f>
        <v>1000</v>
      </c>
      <c r="R566" s="5">
        <f>SUMIFS('ورودی برنامه'!$E$4:$E$16,'ورودی برنامه'!$A$4:$A$16,A566,'ورودی برنامه'!$C$4:$C$16,C566)</f>
        <v>0</v>
      </c>
      <c r="S566" s="5">
        <f>ROUND(Q566*J566/K566*O566/100,10)</f>
        <v>6000</v>
      </c>
      <c r="T566" s="5">
        <f>ROUND(R566*J566/K566*O566/100,10)</f>
        <v>0</v>
      </c>
      <c r="U566" s="5" t="n">
        <v>6000</v>
      </c>
      <c r="V566" s="5" t="n">
        <v>0</v>
      </c>
    </row>
    <row r="567" ht="20" customHeight="1">
      <c r="A567" s="10" t="n">
        <v>1202150</v>
      </c>
      <c r="B567" s="11" t="inlineStr">
        <is>
          <t>کلید شیشه بالابر جلوچپ مونتاژماشینی شده CKD DRIVER DSM</t>
        </is>
      </c>
      <c r="C567" s="11" t="inlineStr">
        <is>
          <t>12021500203</t>
        </is>
      </c>
      <c r="D567" s="11" t="inlineStr">
        <is>
          <t>1403/07/30</t>
        </is>
      </c>
      <c r="E567" s="13" t="n"/>
      <c r="F567" s="10" t="n">
        <v>28652</v>
      </c>
      <c r="G567" s="10" t="n">
        <v>1110178</v>
      </c>
      <c r="H567" s="11" t="inlineStr">
        <is>
          <t>Resistor 8.2k, 5% ,1/4W, 3216</t>
        </is>
      </c>
      <c r="I567" s="11" t="inlineStr">
        <is>
          <t>عدد</t>
        </is>
      </c>
      <c r="J567" s="10" t="n">
        <v>6</v>
      </c>
      <c r="K567" s="10" t="n">
        <v>1</v>
      </c>
      <c r="L567" s="11" t="inlineStr">
        <is>
          <t>6</t>
        </is>
      </c>
      <c r="M567" s="10" t="n">
        <v>1</v>
      </c>
      <c r="N567" s="10" t="n">
        <v>50</v>
      </c>
      <c r="O567" s="10">
        <f>N567</f>
        <v>50</v>
      </c>
      <c r="P567" s="11" t="inlineStr">
        <is>
          <t>سهم درصد استفاده BOM</t>
        </is>
      </c>
      <c r="Q567" s="10">
        <f>SUMIFS('ورودی برنامه'!$D$4:$D$16,'ورودی برنامه'!$A$4:$A$16,A567,'ورودی برنامه'!$C$4:$C$16,C567)</f>
        <v>1000</v>
      </c>
      <c r="R567" s="10">
        <f>SUMIFS('ورودی برنامه'!$E$4:$E$16,'ورودی برنامه'!$A$4:$A$16,A567,'ورودی برنامه'!$C$4:$C$16,C567)</f>
        <v>0</v>
      </c>
      <c r="S567" s="10">
        <f>ROUND(Q567*J567/K567*O567/100,10)</f>
        <v>3000</v>
      </c>
      <c r="T567" s="10">
        <f>ROUND(R567*J567/K567*O567/100,10)</f>
        <v>0</v>
      </c>
      <c r="U567" s="10" t="n">
        <v>6000</v>
      </c>
      <c r="V567" s="10" t="n">
        <v>0</v>
      </c>
    </row>
    <row r="568" ht="20" customHeight="1">
      <c r="A568" s="5" t="n">
        <v>1202150</v>
      </c>
      <c r="B568" s="6" t="inlineStr">
        <is>
          <t>کلید شیشه بالابر جلوچپ مونتاژماشینی شده CKD DRIVER DSM</t>
        </is>
      </c>
      <c r="C568" s="6" t="inlineStr">
        <is>
          <t>12021500203</t>
        </is>
      </c>
      <c r="D568" s="6" t="inlineStr">
        <is>
          <t>1403/07/30</t>
        </is>
      </c>
      <c r="E568" s="9" t="n"/>
      <c r="F568" s="5" t="n">
        <v>30922</v>
      </c>
      <c r="G568" s="5" t="n">
        <v>1110636</v>
      </c>
      <c r="H568" s="6" t="inlineStr">
        <is>
          <t>MOSFET N-Channel,40V,50A</t>
        </is>
      </c>
      <c r="I568" s="6" t="inlineStr">
        <is>
          <t>عدد</t>
        </is>
      </c>
      <c r="J568" s="5" t="n">
        <v>1</v>
      </c>
      <c r="K568" s="5" t="n">
        <v>1</v>
      </c>
      <c r="L568" s="6" t="inlineStr">
        <is>
          <t>5</t>
        </is>
      </c>
      <c r="M568" s="5" t="n">
        <v>2</v>
      </c>
      <c r="N568" s="5" t="n">
        <v>50</v>
      </c>
      <c r="O568" s="5">
        <f>N568</f>
        <v>50</v>
      </c>
      <c r="P568" s="6" t="inlineStr">
        <is>
          <t>سهم درصد استفاده BOM</t>
        </is>
      </c>
      <c r="Q568" s="5">
        <f>SUMIFS('ورودی برنامه'!$D$4:$D$16,'ورودی برنامه'!$A$4:$A$16,A568,'ورودی برنامه'!$C$4:$C$16,C568)</f>
        <v>1000</v>
      </c>
      <c r="R568" s="5">
        <f>SUMIFS('ورودی برنامه'!$E$4:$E$16,'ورودی برنامه'!$A$4:$A$16,A568,'ورودی برنامه'!$C$4:$C$16,C568)</f>
        <v>0</v>
      </c>
      <c r="S568" s="5">
        <f>ROUND(Q568*J568/K568*O568/100,10)</f>
        <v>500</v>
      </c>
      <c r="T568" s="5">
        <f>ROUND(R568*J568/K568*O568/100,10)</f>
        <v>0</v>
      </c>
      <c r="U568" s="5" t="n">
        <v>0</v>
      </c>
      <c r="V568" s="5" t="n">
        <v>0</v>
      </c>
    </row>
    <row r="569" ht="20" customHeight="1">
      <c r="A569" s="10" t="n">
        <v>1202150</v>
      </c>
      <c r="B569" s="11" t="inlineStr">
        <is>
          <t>کلید شیشه بالابر جلوچپ مونتاژماشینی شده CKD DRIVER DSM</t>
        </is>
      </c>
      <c r="C569" s="11" t="inlineStr">
        <is>
          <t>12021500203</t>
        </is>
      </c>
      <c r="D569" s="11" t="inlineStr">
        <is>
          <t>1403/07/30</t>
        </is>
      </c>
      <c r="E569" s="13" t="n"/>
      <c r="F569" s="10" t="n">
        <v>30927</v>
      </c>
      <c r="G569" s="10" t="n">
        <v>1110491</v>
      </c>
      <c r="H569" s="11" t="inlineStr">
        <is>
          <t>IC L9950XP</t>
        </is>
      </c>
      <c r="I569" s="11" t="inlineStr">
        <is>
          <t>عدد</t>
        </is>
      </c>
      <c r="J569" s="10" t="n">
        <v>1</v>
      </c>
      <c r="K569" s="10" t="n">
        <v>1</v>
      </c>
      <c r="L569" s="11" t="inlineStr">
        <is>
          <t>-</t>
        </is>
      </c>
      <c r="M569" s="13" t="n"/>
      <c r="N569" s="13" t="n"/>
      <c r="O569" s="10" t="n">
        <v>100</v>
      </c>
      <c r="P569" s="11" t="inlineStr">
        <is>
          <t>مصرف مستقیم</t>
        </is>
      </c>
      <c r="Q569" s="10">
        <f>SUMIFS('ورودی برنامه'!$D$4:$D$16,'ورودی برنامه'!$A$4:$A$16,A569,'ورودی برنامه'!$C$4:$C$16,C569)</f>
        <v>1000</v>
      </c>
      <c r="R569" s="10">
        <f>SUMIFS('ورودی برنامه'!$E$4:$E$16,'ورودی برنامه'!$A$4:$A$16,A569,'ورودی برنامه'!$C$4:$C$16,C569)</f>
        <v>0</v>
      </c>
      <c r="S569" s="10">
        <f>ROUND(Q569*J569/K569*O569/100,10)</f>
        <v>1000</v>
      </c>
      <c r="T569" s="10">
        <f>ROUND(R569*J569/K569*O569/100,10)</f>
        <v>0</v>
      </c>
      <c r="U569" s="10" t="n">
        <v>1000</v>
      </c>
      <c r="V569" s="10" t="n">
        <v>0</v>
      </c>
    </row>
    <row r="570" ht="20" customHeight="1">
      <c r="A570" s="5" t="n">
        <v>1202150</v>
      </c>
      <c r="B570" s="6" t="inlineStr">
        <is>
          <t>کلید شیشه بالابر جلوچپ مونتاژماشینی شده CKD DRIVER DSM</t>
        </is>
      </c>
      <c r="C570" s="6" t="inlineStr">
        <is>
          <t>12021500203</t>
        </is>
      </c>
      <c r="D570" s="6" t="inlineStr">
        <is>
          <t>1403/07/30</t>
        </is>
      </c>
      <c r="E570" s="9" t="n"/>
      <c r="F570" s="5" t="n">
        <v>31730</v>
      </c>
      <c r="G570" s="5" t="n">
        <v>1120119</v>
      </c>
      <c r="H570" s="6" t="inlineStr">
        <is>
          <t>Electrolit Capacitor 220uF,50V,20%,MVK,-55°C~+105°C</t>
        </is>
      </c>
      <c r="I570" s="6" t="inlineStr">
        <is>
          <t>عدد</t>
        </is>
      </c>
      <c r="J570" s="5" t="n">
        <v>1</v>
      </c>
      <c r="K570" s="5" t="n">
        <v>1</v>
      </c>
      <c r="L570" s="6" t="inlineStr">
        <is>
          <t>3</t>
        </is>
      </c>
      <c r="M570" s="5" t="n">
        <v>2</v>
      </c>
      <c r="N570" s="5" t="n">
        <v>50</v>
      </c>
      <c r="O570" s="5">
        <f>N570</f>
        <v>50</v>
      </c>
      <c r="P570" s="6" t="inlineStr">
        <is>
          <t>سهم درصد استفاده BOM</t>
        </is>
      </c>
      <c r="Q570" s="5">
        <f>SUMIFS('ورودی برنامه'!$D$4:$D$16,'ورودی برنامه'!$A$4:$A$16,A570,'ورودی برنامه'!$C$4:$C$16,C570)</f>
        <v>1000</v>
      </c>
      <c r="R570" s="5">
        <f>SUMIFS('ورودی برنامه'!$E$4:$E$16,'ورودی برنامه'!$A$4:$A$16,A570,'ورودی برنامه'!$C$4:$C$16,C570)</f>
        <v>0</v>
      </c>
      <c r="S570" s="5">
        <f>ROUND(Q570*J570/K570*O570/100,10)</f>
        <v>500</v>
      </c>
      <c r="T570" s="5">
        <f>ROUND(R570*J570/K570*O570/100,10)</f>
        <v>0</v>
      </c>
      <c r="U570" s="5" t="n">
        <v>0</v>
      </c>
      <c r="V570" s="5" t="n">
        <v>0</v>
      </c>
    </row>
    <row r="571" ht="20" customHeight="1">
      <c r="A571" s="10" t="n">
        <v>1202150</v>
      </c>
      <c r="B571" s="11" t="inlineStr">
        <is>
          <t>کلید شیشه بالابر جلوچپ مونتاژماشینی شده CKD DRIVER DSM</t>
        </is>
      </c>
      <c r="C571" s="11" t="inlineStr">
        <is>
          <t>12021500203</t>
        </is>
      </c>
      <c r="D571" s="11" t="inlineStr">
        <is>
          <t>1403/07/30</t>
        </is>
      </c>
      <c r="E571" s="13" t="n"/>
      <c r="F571" s="10" t="n">
        <v>32254</v>
      </c>
      <c r="G571" s="10" t="n">
        <v>1110770</v>
      </c>
      <c r="H571" s="11" t="inlineStr">
        <is>
          <t>Resistor PTC</t>
        </is>
      </c>
      <c r="I571" s="11" t="inlineStr">
        <is>
          <t>عدد</t>
        </is>
      </c>
      <c r="J571" s="10" t="n">
        <v>2</v>
      </c>
      <c r="K571" s="10" t="n">
        <v>1</v>
      </c>
      <c r="L571" s="11" t="inlineStr">
        <is>
          <t>14</t>
        </is>
      </c>
      <c r="M571" s="10" t="n">
        <v>1</v>
      </c>
      <c r="N571" s="10" t="n">
        <v>50</v>
      </c>
      <c r="O571" s="10">
        <f>N571</f>
        <v>50</v>
      </c>
      <c r="P571" s="11" t="inlineStr">
        <is>
          <t>سهم درصد استفاده BOM</t>
        </is>
      </c>
      <c r="Q571" s="10">
        <f>SUMIFS('ورودی برنامه'!$D$4:$D$16,'ورودی برنامه'!$A$4:$A$16,A571,'ورودی برنامه'!$C$4:$C$16,C571)</f>
        <v>1000</v>
      </c>
      <c r="R571" s="10">
        <f>SUMIFS('ورودی برنامه'!$E$4:$E$16,'ورودی برنامه'!$A$4:$A$16,A571,'ورودی برنامه'!$C$4:$C$16,C571)</f>
        <v>0</v>
      </c>
      <c r="S571" s="10">
        <f>ROUND(Q571*J571/K571*O571/100,10)</f>
        <v>1000</v>
      </c>
      <c r="T571" s="10">
        <f>ROUND(R571*J571/K571*O571/100,10)</f>
        <v>0</v>
      </c>
      <c r="U571" s="10" t="n">
        <v>2000</v>
      </c>
      <c r="V571" s="10" t="n">
        <v>0</v>
      </c>
    </row>
    <row r="572" ht="20" customHeight="1">
      <c r="A572" s="5" t="n">
        <v>1202150</v>
      </c>
      <c r="B572" s="6" t="inlineStr">
        <is>
          <t>کلید شیشه بالابر جلوچپ مونتاژماشینی شده CKD DRIVER DSM</t>
        </is>
      </c>
      <c r="C572" s="6" t="inlineStr">
        <is>
          <t>12021500203</t>
        </is>
      </c>
      <c r="D572" s="6" t="inlineStr">
        <is>
          <t>1403/07/30</t>
        </is>
      </c>
      <c r="E572" s="9" t="n"/>
      <c r="F572" s="5" t="n">
        <v>33949</v>
      </c>
      <c r="G572" s="5" t="n">
        <v>1110752</v>
      </c>
      <c r="H572" s="6" t="inlineStr">
        <is>
          <t>Resistor 10K,1%,1/4W_</t>
        </is>
      </c>
      <c r="I572" s="6" t="inlineStr">
        <is>
          <t>عدد</t>
        </is>
      </c>
      <c r="J572" s="5" t="n">
        <v>1</v>
      </c>
      <c r="K572" s="5" t="n">
        <v>1</v>
      </c>
      <c r="L572" s="6" t="inlineStr">
        <is>
          <t>8</t>
        </is>
      </c>
      <c r="M572" s="5" t="n">
        <v>2</v>
      </c>
      <c r="N572" s="5" t="n">
        <v>50</v>
      </c>
      <c r="O572" s="5">
        <f>N572</f>
        <v>50</v>
      </c>
      <c r="P572" s="6" t="inlineStr">
        <is>
          <t>سهم درصد استفاده BOM</t>
        </is>
      </c>
      <c r="Q572" s="5">
        <f>SUMIFS('ورودی برنامه'!$D$4:$D$16,'ورودی برنامه'!$A$4:$A$16,A572,'ورودی برنامه'!$C$4:$C$16,C572)</f>
        <v>1000</v>
      </c>
      <c r="R572" s="5">
        <f>SUMIFS('ورودی برنامه'!$E$4:$E$16,'ورودی برنامه'!$A$4:$A$16,A572,'ورودی برنامه'!$C$4:$C$16,C572)</f>
        <v>0</v>
      </c>
      <c r="S572" s="5">
        <f>ROUND(Q572*J572/K572*O572/100,10)</f>
        <v>500</v>
      </c>
      <c r="T572" s="5">
        <f>ROUND(R572*J572/K572*O572/100,10)</f>
        <v>0</v>
      </c>
      <c r="U572" s="5" t="n">
        <v>0</v>
      </c>
      <c r="V572" s="5" t="n">
        <v>0</v>
      </c>
    </row>
    <row r="573" ht="20" customHeight="1">
      <c r="A573" s="10" t="n">
        <v>1202150</v>
      </c>
      <c r="B573" s="11" t="inlineStr">
        <is>
          <t>کلید شیشه بالابر جلوچپ مونتاژماشینی شده CKD DRIVER DSM</t>
        </is>
      </c>
      <c r="C573" s="11" t="inlineStr">
        <is>
          <t>12021500203</t>
        </is>
      </c>
      <c r="D573" s="11" t="inlineStr">
        <is>
          <t>1403/07/30</t>
        </is>
      </c>
      <c r="E573" s="13" t="n"/>
      <c r="F573" s="10" t="n">
        <v>36510</v>
      </c>
      <c r="G573" s="10" t="n">
        <v>1100454</v>
      </c>
      <c r="H573" s="11" t="inlineStr">
        <is>
          <t>PCB PW DSM</t>
        </is>
      </c>
      <c r="I573" s="11" t="inlineStr">
        <is>
          <t>عدد</t>
        </is>
      </c>
      <c r="J573" s="10" t="n">
        <v>1</v>
      </c>
      <c r="K573" s="10" t="n">
        <v>1</v>
      </c>
      <c r="L573" s="11" t="inlineStr">
        <is>
          <t>-</t>
        </is>
      </c>
      <c r="M573" s="13" t="n"/>
      <c r="N573" s="13" t="n"/>
      <c r="O573" s="10" t="n">
        <v>100</v>
      </c>
      <c r="P573" s="11" t="inlineStr">
        <is>
          <t>مصرف مستقیم</t>
        </is>
      </c>
      <c r="Q573" s="10">
        <f>SUMIFS('ورودی برنامه'!$D$4:$D$16,'ورودی برنامه'!$A$4:$A$16,A573,'ورودی برنامه'!$C$4:$C$16,C573)</f>
        <v>1000</v>
      </c>
      <c r="R573" s="10">
        <f>SUMIFS('ورودی برنامه'!$E$4:$E$16,'ورودی برنامه'!$A$4:$A$16,A573,'ورودی برنامه'!$C$4:$C$16,C573)</f>
        <v>0</v>
      </c>
      <c r="S573" s="10">
        <f>ROUND(Q573*J573/K573*O573/100,10)</f>
        <v>1000</v>
      </c>
      <c r="T573" s="10">
        <f>ROUND(R573*J573/K573*O573/100,10)</f>
        <v>0</v>
      </c>
      <c r="U573" s="10" t="n">
        <v>1000</v>
      </c>
      <c r="V573" s="10" t="n">
        <v>0</v>
      </c>
    </row>
    <row r="574" ht="20" customHeight="1">
      <c r="A574" s="5" t="n">
        <v>1202150</v>
      </c>
      <c r="B574" s="6" t="inlineStr">
        <is>
          <t>کلید شیشه بالابر جلوچپ مونتاژماشینی شده CKD DRIVER DSM</t>
        </is>
      </c>
      <c r="C574" s="6" t="inlineStr">
        <is>
          <t>12021500203</t>
        </is>
      </c>
      <c r="D574" s="6" t="inlineStr">
        <is>
          <t>1403/07/30</t>
        </is>
      </c>
      <c r="E574" s="9" t="n"/>
      <c r="F574" s="5" t="n">
        <v>38039</v>
      </c>
      <c r="G574" s="5" t="n">
        <v>1110648</v>
      </c>
      <c r="H574" s="6" t="inlineStr">
        <is>
          <t>Mosfet, N-Channel,50A,40V</t>
        </is>
      </c>
      <c r="I574" s="6" t="inlineStr">
        <is>
          <t>عدد</t>
        </is>
      </c>
      <c r="J574" s="5" t="n">
        <v>1</v>
      </c>
      <c r="K574" s="5" t="n">
        <v>1</v>
      </c>
      <c r="L574" s="6" t="inlineStr">
        <is>
          <t>5</t>
        </is>
      </c>
      <c r="M574" s="5" t="n">
        <v>1</v>
      </c>
      <c r="N574" s="5" t="n">
        <v>50</v>
      </c>
      <c r="O574" s="5">
        <f>N574</f>
        <v>50</v>
      </c>
      <c r="P574" s="6" t="inlineStr">
        <is>
          <t>سهم درصد استفاده BOM</t>
        </is>
      </c>
      <c r="Q574" s="5">
        <f>SUMIFS('ورودی برنامه'!$D$4:$D$16,'ورودی برنامه'!$A$4:$A$16,A574,'ورودی برنامه'!$C$4:$C$16,C574)</f>
        <v>1000</v>
      </c>
      <c r="R574" s="5">
        <f>SUMIFS('ورودی برنامه'!$E$4:$E$16,'ورودی برنامه'!$A$4:$A$16,A574,'ورودی برنامه'!$C$4:$C$16,C574)</f>
        <v>0</v>
      </c>
      <c r="S574" s="5">
        <f>ROUND(Q574*J574/K574*O574/100,10)</f>
        <v>500</v>
      </c>
      <c r="T574" s="5">
        <f>ROUND(R574*J574/K574*O574/100,10)</f>
        <v>0</v>
      </c>
      <c r="U574" s="5" t="n">
        <v>1000</v>
      </c>
      <c r="V574" s="5" t="n">
        <v>0</v>
      </c>
    </row>
    <row r="575" ht="20" customHeight="1">
      <c r="A575" s="10" t="n">
        <v>1202150</v>
      </c>
      <c r="B575" s="11" t="inlineStr">
        <is>
          <t>کلید شیشه بالابر جلوچپ مونتاژماشینی شده CKD DRIVER DSM</t>
        </is>
      </c>
      <c r="C575" s="11" t="inlineStr">
        <is>
          <t>12021500203</t>
        </is>
      </c>
      <c r="D575" s="11" t="inlineStr">
        <is>
          <t>1403/07/30</t>
        </is>
      </c>
      <c r="E575" s="13" t="n"/>
      <c r="F575" s="10" t="n">
        <v>38057</v>
      </c>
      <c r="G575" s="10" t="n">
        <v>1110765</v>
      </c>
      <c r="H575" s="11" t="inlineStr">
        <is>
          <t>Resistor 8.2k, 1%, 1/4w</t>
        </is>
      </c>
      <c r="I575" s="11" t="inlineStr">
        <is>
          <t>عدد</t>
        </is>
      </c>
      <c r="J575" s="10" t="n">
        <v>6</v>
      </c>
      <c r="K575" s="10" t="n">
        <v>1</v>
      </c>
      <c r="L575" s="11" t="inlineStr">
        <is>
          <t>6</t>
        </is>
      </c>
      <c r="M575" s="10" t="n">
        <v>2</v>
      </c>
      <c r="N575" s="10" t="n">
        <v>50</v>
      </c>
      <c r="O575" s="10">
        <f>N575</f>
        <v>50</v>
      </c>
      <c r="P575" s="11" t="inlineStr">
        <is>
          <t>سهم درصد استفاده BOM</t>
        </is>
      </c>
      <c r="Q575" s="10">
        <f>SUMIFS('ورودی برنامه'!$D$4:$D$16,'ورودی برنامه'!$A$4:$A$16,A575,'ورودی برنامه'!$C$4:$C$16,C575)</f>
        <v>1000</v>
      </c>
      <c r="R575" s="10">
        <f>SUMIFS('ورودی برنامه'!$E$4:$E$16,'ورودی برنامه'!$A$4:$A$16,A575,'ورودی برنامه'!$C$4:$C$16,C575)</f>
        <v>0</v>
      </c>
      <c r="S575" s="10">
        <f>ROUND(Q575*J575/K575*O575/100,10)</f>
        <v>3000</v>
      </c>
      <c r="T575" s="10">
        <f>ROUND(R575*J575/K575*O575/100,10)</f>
        <v>0</v>
      </c>
      <c r="U575" s="10" t="n">
        <v>0</v>
      </c>
      <c r="V575" s="10" t="n">
        <v>0</v>
      </c>
    </row>
    <row r="576" ht="20" customHeight="1">
      <c r="A576" s="5" t="n">
        <v>1202150</v>
      </c>
      <c r="B576" s="6" t="inlineStr">
        <is>
          <t>کلید شیشه بالابر جلوچپ مونتاژماشینی شده CKD DRIVER DSM</t>
        </is>
      </c>
      <c r="C576" s="6" t="inlineStr">
        <is>
          <t>12021500203</t>
        </is>
      </c>
      <c r="D576" s="6" t="inlineStr">
        <is>
          <t>1403/07/30</t>
        </is>
      </c>
      <c r="E576" s="9" t="n"/>
      <c r="F576" s="5" t="n">
        <v>39384</v>
      </c>
      <c r="G576" s="5" t="n">
        <v>1110517</v>
      </c>
      <c r="H576" s="6" t="inlineStr">
        <is>
          <t>IC, MCU,8-Bit Microcontroller PIC16F18346T-I/SO</t>
        </is>
      </c>
      <c r="I576" s="6" t="inlineStr">
        <is>
          <t>عدد</t>
        </is>
      </c>
      <c r="J576" s="5" t="n">
        <v>1</v>
      </c>
      <c r="K576" s="5" t="n">
        <v>1</v>
      </c>
      <c r="L576" s="6" t="inlineStr">
        <is>
          <t>13</t>
        </is>
      </c>
      <c r="M576" s="5" t="n">
        <v>2</v>
      </c>
      <c r="N576" s="5" t="n">
        <v>50</v>
      </c>
      <c r="O576" s="5">
        <f>N576</f>
        <v>50</v>
      </c>
      <c r="P576" s="6" t="inlineStr">
        <is>
          <t>سهم درصد استفاده BOM</t>
        </is>
      </c>
      <c r="Q576" s="5">
        <f>SUMIFS('ورودی برنامه'!$D$4:$D$16,'ورودی برنامه'!$A$4:$A$16,A576,'ورودی برنامه'!$C$4:$C$16,C576)</f>
        <v>1000</v>
      </c>
      <c r="R576" s="5">
        <f>SUMIFS('ورودی برنامه'!$E$4:$E$16,'ورودی برنامه'!$A$4:$A$16,A576,'ورودی برنامه'!$C$4:$C$16,C576)</f>
        <v>0</v>
      </c>
      <c r="S576" s="5">
        <f>ROUND(Q576*J576/K576*O576/100,10)</f>
        <v>500</v>
      </c>
      <c r="T576" s="5">
        <f>ROUND(R576*J576/K576*O576/100,10)</f>
        <v>0</v>
      </c>
      <c r="U576" s="5" t="n">
        <v>0</v>
      </c>
      <c r="V576" s="5" t="n">
        <v>0</v>
      </c>
    </row>
    <row r="577" ht="20" customHeight="1">
      <c r="A577" s="10" t="n">
        <v>1202151</v>
      </c>
      <c r="B577" s="11" t="inlineStr">
        <is>
          <t>کلید شیشه بالابر جلو چپ مونتاژ ماشینی شده CKD DRIVER SBCM</t>
        </is>
      </c>
      <c r="C577" s="11" t="inlineStr">
        <is>
          <t>12021510112</t>
        </is>
      </c>
      <c r="D577" s="11" t="inlineStr">
        <is>
          <t>1405/07/11</t>
        </is>
      </c>
      <c r="E577" s="13" t="n"/>
      <c r="F577" s="10" t="n">
        <v>1206</v>
      </c>
      <c r="G577" s="10" t="n">
        <v>1101030</v>
      </c>
      <c r="H577" s="11" t="inlineStr">
        <is>
          <t>Resistor 33K,1%,1/10W</t>
        </is>
      </c>
      <c r="I577" s="11" t="inlineStr">
        <is>
          <t>عدد</t>
        </is>
      </c>
      <c r="J577" s="10" t="n">
        <v>3</v>
      </c>
      <c r="K577" s="10" t="n">
        <v>1</v>
      </c>
      <c r="L577" s="11" t="inlineStr">
        <is>
          <t>-</t>
        </is>
      </c>
      <c r="M577" s="13" t="n"/>
      <c r="N577" s="13" t="n"/>
      <c r="O577" s="10" t="n">
        <v>100</v>
      </c>
      <c r="P577" s="11" t="inlineStr">
        <is>
          <t>مصرف مستقیم</t>
        </is>
      </c>
      <c r="Q577" s="10">
        <f>SUMIFS('ورودی برنامه'!$D$4:$D$16,'ورودی برنامه'!$A$4:$A$16,A577,'ورودی برنامه'!$C$4:$C$16,C577)</f>
        <v>1200</v>
      </c>
      <c r="R577" s="10">
        <f>SUMIFS('ورودی برنامه'!$E$4:$E$16,'ورودی برنامه'!$A$4:$A$16,A577,'ورودی برنامه'!$C$4:$C$16,C577)</f>
        <v>2000</v>
      </c>
      <c r="S577" s="10">
        <f>ROUND(Q577*J577/K577*O577/100,10)</f>
        <v>3600</v>
      </c>
      <c r="T577" s="10">
        <f>ROUND(R577*J577/K577*O577/100,10)</f>
        <v>6000</v>
      </c>
      <c r="U577" s="10" t="n">
        <v>3600</v>
      </c>
      <c r="V577" s="10" t="n">
        <v>6000</v>
      </c>
    </row>
    <row r="578" ht="20" customHeight="1">
      <c r="A578" s="5" t="n">
        <v>1202151</v>
      </c>
      <c r="B578" s="6" t="inlineStr">
        <is>
          <t>کلید شیشه بالابر جلو چپ مونتاژ ماشینی شده CKD DRIVER SBCM</t>
        </is>
      </c>
      <c r="C578" s="6" t="inlineStr">
        <is>
          <t>12021510112</t>
        </is>
      </c>
      <c r="D578" s="6" t="inlineStr">
        <is>
          <t>1405/07/11</t>
        </is>
      </c>
      <c r="E578" s="9" t="n"/>
      <c r="F578" s="5" t="n">
        <v>3782</v>
      </c>
      <c r="G578" s="5" t="n">
        <v>1110774</v>
      </c>
      <c r="H578" s="6" t="inlineStr">
        <is>
          <t>Resistor PTC 15Ω</t>
        </is>
      </c>
      <c r="I578" s="6" t="inlineStr">
        <is>
          <t>عدد(شمارشی)</t>
        </is>
      </c>
      <c r="J578" s="5" t="n">
        <v>3</v>
      </c>
      <c r="K578" s="5" t="n">
        <v>1</v>
      </c>
      <c r="L578" s="6" t="inlineStr">
        <is>
          <t>4</t>
        </is>
      </c>
      <c r="M578" s="5" t="n">
        <v>2</v>
      </c>
      <c r="N578" s="5" t="n">
        <v>100</v>
      </c>
      <c r="O578" s="5" t="n">
        <v>0</v>
      </c>
      <c r="P578" s="6" t="inlineStr">
        <is>
          <t>۱۰۰٪ تکراری؛ فقط اولویت اول</t>
        </is>
      </c>
      <c r="Q578" s="5">
        <f>SUMIFS('ورودی برنامه'!$D$4:$D$16,'ورودی برنامه'!$A$4:$A$16,A578,'ورودی برنامه'!$C$4:$C$16,C578)</f>
        <v>1200</v>
      </c>
      <c r="R578" s="5">
        <f>SUMIFS('ورودی برنامه'!$E$4:$E$16,'ورودی برنامه'!$A$4:$A$16,A578,'ورودی برنامه'!$C$4:$C$16,C578)</f>
        <v>2000</v>
      </c>
      <c r="S578" s="5">
        <f>ROUND(Q578*J578/K578*O578/100,10)</f>
        <v>0</v>
      </c>
      <c r="T578" s="5">
        <f>ROUND(R578*J578/K578*O578/100,10)</f>
        <v>0</v>
      </c>
      <c r="U578" s="5" t="n">
        <v>0</v>
      </c>
      <c r="V578" s="5" t="n">
        <v>0</v>
      </c>
    </row>
    <row r="579" ht="20" customHeight="1">
      <c r="A579" s="10" t="n">
        <v>1202151</v>
      </c>
      <c r="B579" s="11" t="inlineStr">
        <is>
          <t>کلید شیشه بالابر جلو چپ مونتاژ ماشینی شده CKD DRIVER SBCM</t>
        </is>
      </c>
      <c r="C579" s="11" t="inlineStr">
        <is>
          <t>12021510112</t>
        </is>
      </c>
      <c r="D579" s="11" t="inlineStr">
        <is>
          <t>1405/07/11</t>
        </is>
      </c>
      <c r="E579" s="13" t="n"/>
      <c r="F579" s="10" t="n">
        <v>3914</v>
      </c>
      <c r="G579" s="10" t="n">
        <v>1100457</v>
      </c>
      <c r="H579" s="11" t="inlineStr">
        <is>
          <t>PCB PW DSM Crouse Type</t>
        </is>
      </c>
      <c r="I579" s="11" t="inlineStr">
        <is>
          <t>عدد(شمارشی)</t>
        </is>
      </c>
      <c r="J579" s="10" t="n">
        <v>1</v>
      </c>
      <c r="K579" s="10" t="n">
        <v>1</v>
      </c>
      <c r="L579" s="11" t="inlineStr">
        <is>
          <t>-</t>
        </is>
      </c>
      <c r="M579" s="13" t="n"/>
      <c r="N579" s="13" t="n"/>
      <c r="O579" s="10" t="n">
        <v>100</v>
      </c>
      <c r="P579" s="11" t="inlineStr">
        <is>
          <t>مصرف مستقیم</t>
        </is>
      </c>
      <c r="Q579" s="10">
        <f>SUMIFS('ورودی برنامه'!$D$4:$D$16,'ورودی برنامه'!$A$4:$A$16,A579,'ورودی برنامه'!$C$4:$C$16,C579)</f>
        <v>1200</v>
      </c>
      <c r="R579" s="10">
        <f>SUMIFS('ورودی برنامه'!$E$4:$E$16,'ورودی برنامه'!$A$4:$A$16,A579,'ورودی برنامه'!$C$4:$C$16,C579)</f>
        <v>2000</v>
      </c>
      <c r="S579" s="10">
        <f>ROUND(Q579*J579/K579*O579/100,10)</f>
        <v>1200</v>
      </c>
      <c r="T579" s="10">
        <f>ROUND(R579*J579/K579*O579/100,10)</f>
        <v>2000</v>
      </c>
      <c r="U579" s="10" t="n">
        <v>1200</v>
      </c>
      <c r="V579" s="10" t="n">
        <v>2000</v>
      </c>
    </row>
    <row r="580" ht="20" customHeight="1">
      <c r="A580" s="5" t="n">
        <v>1202151</v>
      </c>
      <c r="B580" s="6" t="inlineStr">
        <is>
          <t>کلید شیشه بالابر جلو چپ مونتاژ ماشینی شده CKD DRIVER SBCM</t>
        </is>
      </c>
      <c r="C580" s="6" t="inlineStr">
        <is>
          <t>12021510112</t>
        </is>
      </c>
      <c r="D580" s="6" t="inlineStr">
        <is>
          <t>1405/07/11</t>
        </is>
      </c>
      <c r="E580" s="9" t="n"/>
      <c r="F580" s="5" t="n">
        <v>4756</v>
      </c>
      <c r="G580" s="5" t="n">
        <v>1101072</v>
      </c>
      <c r="H580" s="6" t="inlineStr">
        <is>
          <t>Resettable fuse PPTC 200MA 30V</t>
        </is>
      </c>
      <c r="I580" s="6" t="inlineStr">
        <is>
          <t>عدد(شمارشی)</t>
        </is>
      </c>
      <c r="J580" s="5" t="n">
        <v>2</v>
      </c>
      <c r="K580" s="5" t="n">
        <v>1</v>
      </c>
      <c r="L580" s="6" t="inlineStr">
        <is>
          <t>-</t>
        </is>
      </c>
      <c r="M580" s="9" t="n"/>
      <c r="N580" s="9" t="n"/>
      <c r="O580" s="5" t="n">
        <v>100</v>
      </c>
      <c r="P580" s="6" t="inlineStr">
        <is>
          <t>مصرف مستقیم</t>
        </is>
      </c>
      <c r="Q580" s="5">
        <f>SUMIFS('ورودی برنامه'!$D$4:$D$16,'ورودی برنامه'!$A$4:$A$16,A580,'ورودی برنامه'!$C$4:$C$16,C580)</f>
        <v>1200</v>
      </c>
      <c r="R580" s="5">
        <f>SUMIFS('ورودی برنامه'!$E$4:$E$16,'ورودی برنامه'!$A$4:$A$16,A580,'ورودی برنامه'!$C$4:$C$16,C580)</f>
        <v>2000</v>
      </c>
      <c r="S580" s="5">
        <f>ROUND(Q580*J580/K580*O580/100,10)</f>
        <v>2400</v>
      </c>
      <c r="T580" s="5">
        <f>ROUND(R580*J580/K580*O580/100,10)</f>
        <v>4000</v>
      </c>
      <c r="U580" s="5" t="n">
        <v>2400</v>
      </c>
      <c r="V580" s="5" t="n">
        <v>4000</v>
      </c>
    </row>
    <row r="581" ht="20" customHeight="1">
      <c r="A581" s="10" t="n">
        <v>1202151</v>
      </c>
      <c r="B581" s="11" t="inlineStr">
        <is>
          <t>کلید شیشه بالابر جلو چپ مونتاژ ماشینی شده CKD DRIVER SBCM</t>
        </is>
      </c>
      <c r="C581" s="11" t="inlineStr">
        <is>
          <t>12021510112</t>
        </is>
      </c>
      <c r="D581" s="11" t="inlineStr">
        <is>
          <t>1405/07/11</t>
        </is>
      </c>
      <c r="E581" s="13" t="n"/>
      <c r="F581" s="10" t="n">
        <v>6043</v>
      </c>
      <c r="G581" s="10" t="n">
        <v>1110303</v>
      </c>
      <c r="H581" s="11" t="inlineStr">
        <is>
          <t>Resistor 4.7K,5%,1/12W</t>
        </is>
      </c>
      <c r="I581" s="11" t="inlineStr">
        <is>
          <t>عدد</t>
        </is>
      </c>
      <c r="J581" s="10" t="n">
        <v>3</v>
      </c>
      <c r="K581" s="10" t="n">
        <v>1</v>
      </c>
      <c r="L581" s="11" t="inlineStr">
        <is>
          <t>-</t>
        </is>
      </c>
      <c r="M581" s="13" t="n"/>
      <c r="N581" s="13" t="n"/>
      <c r="O581" s="10" t="n">
        <v>100</v>
      </c>
      <c r="P581" s="11" t="inlineStr">
        <is>
          <t>مصرف مستقیم</t>
        </is>
      </c>
      <c r="Q581" s="10">
        <f>SUMIFS('ورودی برنامه'!$D$4:$D$16,'ورودی برنامه'!$A$4:$A$16,A581,'ورودی برنامه'!$C$4:$C$16,C581)</f>
        <v>1200</v>
      </c>
      <c r="R581" s="10">
        <f>SUMIFS('ورودی برنامه'!$E$4:$E$16,'ورودی برنامه'!$A$4:$A$16,A581,'ورودی برنامه'!$C$4:$C$16,C581)</f>
        <v>2000</v>
      </c>
      <c r="S581" s="10">
        <f>ROUND(Q581*J581/K581*O581/100,10)</f>
        <v>3600</v>
      </c>
      <c r="T581" s="10">
        <f>ROUND(R581*J581/K581*O581/100,10)</f>
        <v>6000</v>
      </c>
      <c r="U581" s="10" t="n">
        <v>3600</v>
      </c>
      <c r="V581" s="10" t="n">
        <v>6000</v>
      </c>
    </row>
    <row r="582" ht="20" customHeight="1">
      <c r="A582" s="5" t="n">
        <v>1202151</v>
      </c>
      <c r="B582" s="6" t="inlineStr">
        <is>
          <t>کلید شیشه بالابر جلو چپ مونتاژ ماشینی شده CKD DRIVER SBCM</t>
        </is>
      </c>
      <c r="C582" s="6" t="inlineStr">
        <is>
          <t>12021510112</t>
        </is>
      </c>
      <c r="D582" s="6" t="inlineStr">
        <is>
          <t>1405/07/11</t>
        </is>
      </c>
      <c r="E582" s="9" t="n"/>
      <c r="F582" s="5" t="n">
        <v>6052</v>
      </c>
      <c r="G582" s="5" t="n">
        <v>1111900</v>
      </c>
      <c r="H582" s="6" t="inlineStr">
        <is>
          <t>Coil 0.1uH,SIMID02/08</t>
        </is>
      </c>
      <c r="I582" s="6" t="inlineStr">
        <is>
          <t>عدد</t>
        </is>
      </c>
      <c r="J582" s="5" t="n">
        <v>1</v>
      </c>
      <c r="K582" s="5" t="n">
        <v>1</v>
      </c>
      <c r="L582" s="6" t="inlineStr">
        <is>
          <t>-</t>
        </is>
      </c>
      <c r="M582" s="9" t="n"/>
      <c r="N582" s="9" t="n"/>
      <c r="O582" s="5" t="n">
        <v>100</v>
      </c>
      <c r="P582" s="6" t="inlineStr">
        <is>
          <t>مصرف مستقیم</t>
        </is>
      </c>
      <c r="Q582" s="5">
        <f>SUMIFS('ورودی برنامه'!$D$4:$D$16,'ورودی برنامه'!$A$4:$A$16,A582,'ورودی برنامه'!$C$4:$C$16,C582)</f>
        <v>1200</v>
      </c>
      <c r="R582" s="5">
        <f>SUMIFS('ورودی برنامه'!$E$4:$E$16,'ورودی برنامه'!$A$4:$A$16,A582,'ورودی برنامه'!$C$4:$C$16,C582)</f>
        <v>2000</v>
      </c>
      <c r="S582" s="5">
        <f>ROUND(Q582*J582/K582*O582/100,10)</f>
        <v>1200</v>
      </c>
      <c r="T582" s="5">
        <f>ROUND(R582*J582/K582*O582/100,10)</f>
        <v>2000</v>
      </c>
      <c r="U582" s="5" t="n">
        <v>1200</v>
      </c>
      <c r="V582" s="5" t="n">
        <v>2000</v>
      </c>
    </row>
    <row r="583" ht="20" customHeight="1">
      <c r="A583" s="10" t="n">
        <v>1202151</v>
      </c>
      <c r="B583" s="11" t="inlineStr">
        <is>
          <t>کلید شیشه بالابر جلو چپ مونتاژ ماشینی شده CKD DRIVER SBCM</t>
        </is>
      </c>
      <c r="C583" s="11" t="inlineStr">
        <is>
          <t>12021510112</t>
        </is>
      </c>
      <c r="D583" s="11" t="inlineStr">
        <is>
          <t>1405/07/11</t>
        </is>
      </c>
      <c r="E583" s="13" t="n"/>
      <c r="F583" s="10" t="n">
        <v>6323</v>
      </c>
      <c r="G583" s="10" t="n">
        <v>1110903</v>
      </c>
      <c r="H583" s="11" t="inlineStr">
        <is>
          <t>Diode 1N4007</t>
        </is>
      </c>
      <c r="I583" s="11" t="inlineStr">
        <is>
          <t>عدد</t>
        </is>
      </c>
      <c r="J583" s="10" t="n">
        <v>12</v>
      </c>
      <c r="K583" s="10" t="n">
        <v>1</v>
      </c>
      <c r="L583" s="11" t="inlineStr">
        <is>
          <t>1</t>
        </is>
      </c>
      <c r="M583" s="10" t="n">
        <v>1</v>
      </c>
      <c r="N583" s="10" t="n">
        <v>100</v>
      </c>
      <c r="O583" s="10" t="n">
        <v>100</v>
      </c>
      <c r="P583" s="11" t="inlineStr">
        <is>
          <t>۱۰۰٪ تکراری؛ فقط اولویت اول</t>
        </is>
      </c>
      <c r="Q583" s="10">
        <f>SUMIFS('ورودی برنامه'!$D$4:$D$16,'ورودی برنامه'!$A$4:$A$16,A583,'ورودی برنامه'!$C$4:$C$16,C583)</f>
        <v>1200</v>
      </c>
      <c r="R583" s="10">
        <f>SUMIFS('ورودی برنامه'!$E$4:$E$16,'ورودی برنامه'!$A$4:$A$16,A583,'ورودی برنامه'!$C$4:$C$16,C583)</f>
        <v>2000</v>
      </c>
      <c r="S583" s="10">
        <f>ROUND(Q583*J583/K583*O583/100,10)</f>
        <v>14400</v>
      </c>
      <c r="T583" s="10">
        <f>ROUND(R583*J583/K583*O583/100,10)</f>
        <v>24000</v>
      </c>
      <c r="U583" s="10" t="n">
        <v>14400</v>
      </c>
      <c r="V583" s="10" t="n">
        <v>24000</v>
      </c>
    </row>
    <row r="584" ht="20" customHeight="1">
      <c r="A584" s="5" t="n">
        <v>1202151</v>
      </c>
      <c r="B584" s="6" t="inlineStr">
        <is>
          <t>کلید شیشه بالابر جلو چپ مونتاژ ماشینی شده CKD DRIVER SBCM</t>
        </is>
      </c>
      <c r="C584" s="6" t="inlineStr">
        <is>
          <t>12021510112</t>
        </is>
      </c>
      <c r="D584" s="6" t="inlineStr">
        <is>
          <t>1405/07/11</t>
        </is>
      </c>
      <c r="E584" s="9" t="n"/>
      <c r="F584" s="5" t="n">
        <v>9284</v>
      </c>
      <c r="G584" s="5" t="n">
        <v>1110075</v>
      </c>
      <c r="H584" s="6" t="inlineStr">
        <is>
          <t>Capacitor 10N,50V,X7R,10%</t>
        </is>
      </c>
      <c r="I584" s="6" t="inlineStr">
        <is>
          <t>عدد</t>
        </is>
      </c>
      <c r="J584" s="5" t="n">
        <v>13</v>
      </c>
      <c r="K584" s="5" t="n">
        <v>1</v>
      </c>
      <c r="L584" s="6" t="inlineStr">
        <is>
          <t>-</t>
        </is>
      </c>
      <c r="M584" s="9" t="n"/>
      <c r="N584" s="9" t="n"/>
      <c r="O584" s="5" t="n">
        <v>100</v>
      </c>
      <c r="P584" s="6" t="inlineStr">
        <is>
          <t>مصرف مستقیم</t>
        </is>
      </c>
      <c r="Q584" s="5">
        <f>SUMIFS('ورودی برنامه'!$D$4:$D$16,'ورودی برنامه'!$A$4:$A$16,A584,'ورودی برنامه'!$C$4:$C$16,C584)</f>
        <v>1200</v>
      </c>
      <c r="R584" s="5">
        <f>SUMIFS('ورودی برنامه'!$E$4:$E$16,'ورودی برنامه'!$A$4:$A$16,A584,'ورودی برنامه'!$C$4:$C$16,C584)</f>
        <v>2000</v>
      </c>
      <c r="S584" s="5">
        <f>ROUND(Q584*J584/K584*O584/100,10)</f>
        <v>15600</v>
      </c>
      <c r="T584" s="5">
        <f>ROUND(R584*J584/K584*O584/100,10)</f>
        <v>26000</v>
      </c>
      <c r="U584" s="5" t="n">
        <v>15600</v>
      </c>
      <c r="V584" s="5" t="n">
        <v>26000</v>
      </c>
    </row>
    <row r="585" ht="20" customHeight="1">
      <c r="A585" s="10" t="n">
        <v>1202151</v>
      </c>
      <c r="B585" s="11" t="inlineStr">
        <is>
          <t>کلید شیشه بالابر جلو چپ مونتاژ ماشینی شده CKD DRIVER SBCM</t>
        </is>
      </c>
      <c r="C585" s="11" t="inlineStr">
        <is>
          <t>12021510112</t>
        </is>
      </c>
      <c r="D585" s="11" t="inlineStr">
        <is>
          <t>1405/07/11</t>
        </is>
      </c>
      <c r="E585" s="13" t="n"/>
      <c r="F585" s="10" t="n">
        <v>12768</v>
      </c>
      <c r="G585" s="10" t="n">
        <v>1110600</v>
      </c>
      <c r="H585" s="11" t="inlineStr">
        <is>
          <t>Transistor BC817-40</t>
        </is>
      </c>
      <c r="I585" s="11" t="inlineStr">
        <is>
          <t>عدد</t>
        </is>
      </c>
      <c r="J585" s="10" t="n">
        <v>1</v>
      </c>
      <c r="K585" s="10" t="n">
        <v>1</v>
      </c>
      <c r="L585" s="11" t="inlineStr">
        <is>
          <t>-</t>
        </is>
      </c>
      <c r="M585" s="13" t="n"/>
      <c r="N585" s="13" t="n"/>
      <c r="O585" s="10" t="n">
        <v>100</v>
      </c>
      <c r="P585" s="11" t="inlineStr">
        <is>
          <t>مصرف مستقیم</t>
        </is>
      </c>
      <c r="Q585" s="10">
        <f>SUMIFS('ورودی برنامه'!$D$4:$D$16,'ورودی برنامه'!$A$4:$A$16,A585,'ورودی برنامه'!$C$4:$C$16,C585)</f>
        <v>1200</v>
      </c>
      <c r="R585" s="10">
        <f>SUMIFS('ورودی برنامه'!$E$4:$E$16,'ورودی برنامه'!$A$4:$A$16,A585,'ورودی برنامه'!$C$4:$C$16,C585)</f>
        <v>2000</v>
      </c>
      <c r="S585" s="10">
        <f>ROUND(Q585*J585/K585*O585/100,10)</f>
        <v>1200</v>
      </c>
      <c r="T585" s="10">
        <f>ROUND(R585*J585/K585*O585/100,10)</f>
        <v>2000</v>
      </c>
      <c r="U585" s="10" t="n">
        <v>1200</v>
      </c>
      <c r="V585" s="10" t="n">
        <v>2000</v>
      </c>
    </row>
    <row r="586" ht="20" customHeight="1">
      <c r="A586" s="5" t="n">
        <v>1202151</v>
      </c>
      <c r="B586" s="6" t="inlineStr">
        <is>
          <t>کلید شیشه بالابر جلو چپ مونتاژ ماشینی شده CKD DRIVER SBCM</t>
        </is>
      </c>
      <c r="C586" s="6" t="inlineStr">
        <is>
          <t>12021510112</t>
        </is>
      </c>
      <c r="D586" s="6" t="inlineStr">
        <is>
          <t>1405/07/11</t>
        </is>
      </c>
      <c r="E586" s="9" t="n"/>
      <c r="F586" s="5" t="n">
        <v>12969</v>
      </c>
      <c r="G586" s="5" t="n">
        <v>1110604</v>
      </c>
      <c r="H586" s="6" t="inlineStr">
        <is>
          <t>Transistor BC807-40</t>
        </is>
      </c>
      <c r="I586" s="6" t="inlineStr">
        <is>
          <t>عدد</t>
        </is>
      </c>
      <c r="J586" s="5" t="n">
        <v>4</v>
      </c>
      <c r="K586" s="5" t="n">
        <v>1</v>
      </c>
      <c r="L586" s="6" t="inlineStr">
        <is>
          <t>5</t>
        </is>
      </c>
      <c r="M586" s="5" t="n">
        <v>1</v>
      </c>
      <c r="N586" s="5" t="n">
        <v>100</v>
      </c>
      <c r="O586" s="5" t="n">
        <v>100</v>
      </c>
      <c r="P586" s="6" t="inlineStr">
        <is>
          <t>۱۰۰٪ تکراری؛ فقط اولویت اول</t>
        </is>
      </c>
      <c r="Q586" s="5">
        <f>SUMIFS('ورودی برنامه'!$D$4:$D$16,'ورودی برنامه'!$A$4:$A$16,A586,'ورودی برنامه'!$C$4:$C$16,C586)</f>
        <v>1200</v>
      </c>
      <c r="R586" s="5">
        <f>SUMIFS('ورودی برنامه'!$E$4:$E$16,'ورودی برنامه'!$A$4:$A$16,A586,'ورودی برنامه'!$C$4:$C$16,C586)</f>
        <v>2000</v>
      </c>
      <c r="S586" s="5">
        <f>ROUND(Q586*J586/K586*O586/100,10)</f>
        <v>4800</v>
      </c>
      <c r="T586" s="5">
        <f>ROUND(R586*J586/K586*O586/100,10)</f>
        <v>8000</v>
      </c>
      <c r="U586" s="5" t="n">
        <v>0</v>
      </c>
      <c r="V586" s="5" t="n">
        <v>7816</v>
      </c>
    </row>
    <row r="587" ht="20" customHeight="1">
      <c r="A587" s="10" t="n">
        <v>1202151</v>
      </c>
      <c r="B587" s="11" t="inlineStr">
        <is>
          <t>کلید شیشه بالابر جلو چپ مونتاژ ماشینی شده CKD DRIVER SBCM</t>
        </is>
      </c>
      <c r="C587" s="11" t="inlineStr">
        <is>
          <t>12021510112</t>
        </is>
      </c>
      <c r="D587" s="11" t="inlineStr">
        <is>
          <t>1405/07/11</t>
        </is>
      </c>
      <c r="E587" s="13" t="n"/>
      <c r="F587" s="10" t="n">
        <v>15663</v>
      </c>
      <c r="G587" s="10" t="n">
        <v>1110910</v>
      </c>
      <c r="H587" s="11" t="inlineStr">
        <is>
          <t>Diode BAV70</t>
        </is>
      </c>
      <c r="I587" s="11" t="inlineStr">
        <is>
          <t>عدد</t>
        </is>
      </c>
      <c r="J587" s="10" t="n">
        <v>3</v>
      </c>
      <c r="K587" s="10" t="n">
        <v>1</v>
      </c>
      <c r="L587" s="11" t="inlineStr">
        <is>
          <t>-</t>
        </is>
      </c>
      <c r="M587" s="13" t="n"/>
      <c r="N587" s="13" t="n"/>
      <c r="O587" s="10" t="n">
        <v>100</v>
      </c>
      <c r="P587" s="11" t="inlineStr">
        <is>
          <t>مصرف مستقیم</t>
        </is>
      </c>
      <c r="Q587" s="10">
        <f>SUMIFS('ورودی برنامه'!$D$4:$D$16,'ورودی برنامه'!$A$4:$A$16,A587,'ورودی برنامه'!$C$4:$C$16,C587)</f>
        <v>1200</v>
      </c>
      <c r="R587" s="10">
        <f>SUMIFS('ورودی برنامه'!$E$4:$E$16,'ورودی برنامه'!$A$4:$A$16,A587,'ورودی برنامه'!$C$4:$C$16,C587)</f>
        <v>2000</v>
      </c>
      <c r="S587" s="10">
        <f>ROUND(Q587*J587/K587*O587/100,10)</f>
        <v>3600</v>
      </c>
      <c r="T587" s="10">
        <f>ROUND(R587*J587/K587*O587/100,10)</f>
        <v>6000</v>
      </c>
      <c r="U587" s="10" t="n">
        <v>3600</v>
      </c>
      <c r="V587" s="10" t="n">
        <v>6000</v>
      </c>
    </row>
    <row r="588" ht="20" customHeight="1">
      <c r="A588" s="5" t="n">
        <v>1202151</v>
      </c>
      <c r="B588" s="6" t="inlineStr">
        <is>
          <t>کلید شیشه بالابر جلو چپ مونتاژ ماشینی شده CKD DRIVER SBCM</t>
        </is>
      </c>
      <c r="C588" s="6" t="inlineStr">
        <is>
          <t>12021510112</t>
        </is>
      </c>
      <c r="D588" s="6" t="inlineStr">
        <is>
          <t>1405/07/11</t>
        </is>
      </c>
      <c r="E588" s="9" t="n"/>
      <c r="F588" s="5" t="n">
        <v>15825</v>
      </c>
      <c r="G588" s="5" t="n">
        <v>1110337</v>
      </c>
      <c r="H588" s="6" t="inlineStr">
        <is>
          <t>Resistor 22K,5%,1/12W</t>
        </is>
      </c>
      <c r="I588" s="6" t="inlineStr">
        <is>
          <t>عدد</t>
        </is>
      </c>
      <c r="J588" s="5" t="n">
        <v>2</v>
      </c>
      <c r="K588" s="5" t="n">
        <v>1</v>
      </c>
      <c r="L588" s="6" t="inlineStr">
        <is>
          <t>2</t>
        </is>
      </c>
      <c r="M588" s="5" t="n">
        <v>1</v>
      </c>
      <c r="N588" s="5" t="n">
        <v>100</v>
      </c>
      <c r="O588" s="5" t="n">
        <v>100</v>
      </c>
      <c r="P588" s="6" t="inlineStr">
        <is>
          <t>۱۰۰٪ تکراری؛ فقط اولویت اول</t>
        </is>
      </c>
      <c r="Q588" s="5">
        <f>SUMIFS('ورودی برنامه'!$D$4:$D$16,'ورودی برنامه'!$A$4:$A$16,A588,'ورودی برنامه'!$C$4:$C$16,C588)</f>
        <v>1200</v>
      </c>
      <c r="R588" s="5">
        <f>SUMIFS('ورودی برنامه'!$E$4:$E$16,'ورودی برنامه'!$A$4:$A$16,A588,'ورودی برنامه'!$C$4:$C$16,C588)</f>
        <v>2000</v>
      </c>
      <c r="S588" s="5">
        <f>ROUND(Q588*J588/K588*O588/100,10)</f>
        <v>2400</v>
      </c>
      <c r="T588" s="5">
        <f>ROUND(R588*J588/K588*O588/100,10)</f>
        <v>4000</v>
      </c>
      <c r="U588" s="5" t="n">
        <v>2400</v>
      </c>
      <c r="V588" s="5" t="n">
        <v>4000</v>
      </c>
    </row>
    <row r="589" ht="20" customHeight="1">
      <c r="A589" s="10" t="n">
        <v>1202151</v>
      </c>
      <c r="B589" s="11" t="inlineStr">
        <is>
          <t>کلید شیشه بالابر جلو چپ مونتاژ ماشینی شده CKD DRIVER SBCM</t>
        </is>
      </c>
      <c r="C589" s="11" t="inlineStr">
        <is>
          <t>12021510112</t>
        </is>
      </c>
      <c r="D589" s="11" t="inlineStr">
        <is>
          <t>1405/07/11</t>
        </is>
      </c>
      <c r="E589" s="13" t="n"/>
      <c r="F589" s="10" t="n">
        <v>19322</v>
      </c>
      <c r="G589" s="10" t="n">
        <v>1110951</v>
      </c>
      <c r="H589" s="11" t="inlineStr">
        <is>
          <t>Diode Supressor SMBJ28CA-TR</t>
        </is>
      </c>
      <c r="I589" s="11" t="inlineStr">
        <is>
          <t>عدد</t>
        </is>
      </c>
      <c r="J589" s="10" t="n">
        <v>1</v>
      </c>
      <c r="K589" s="10" t="n">
        <v>1</v>
      </c>
      <c r="L589" s="11" t="inlineStr">
        <is>
          <t>-</t>
        </is>
      </c>
      <c r="M589" s="13" t="n"/>
      <c r="N589" s="13" t="n"/>
      <c r="O589" s="10" t="n">
        <v>100</v>
      </c>
      <c r="P589" s="11" t="inlineStr">
        <is>
          <t>مصرف مستقیم</t>
        </is>
      </c>
      <c r="Q589" s="10">
        <f>SUMIFS('ورودی برنامه'!$D$4:$D$16,'ورودی برنامه'!$A$4:$A$16,A589,'ورودی برنامه'!$C$4:$C$16,C589)</f>
        <v>1200</v>
      </c>
      <c r="R589" s="10">
        <f>SUMIFS('ورودی برنامه'!$E$4:$E$16,'ورودی برنامه'!$A$4:$A$16,A589,'ورودی برنامه'!$C$4:$C$16,C589)</f>
        <v>2000</v>
      </c>
      <c r="S589" s="10">
        <f>ROUND(Q589*J589/K589*O589/100,10)</f>
        <v>1200</v>
      </c>
      <c r="T589" s="10">
        <f>ROUND(R589*J589/K589*O589/100,10)</f>
        <v>2000</v>
      </c>
      <c r="U589" s="10" t="n">
        <v>1200</v>
      </c>
      <c r="V589" s="10" t="n">
        <v>2000</v>
      </c>
    </row>
    <row r="590" ht="20" customHeight="1">
      <c r="A590" s="5" t="n">
        <v>1202151</v>
      </c>
      <c r="B590" s="6" t="inlineStr">
        <is>
          <t>کلید شیشه بالابر جلو چپ مونتاژ ماشینی شده CKD DRIVER SBCM</t>
        </is>
      </c>
      <c r="C590" s="6" t="inlineStr">
        <is>
          <t>12021510112</t>
        </is>
      </c>
      <c r="D590" s="6" t="inlineStr">
        <is>
          <t>1405/07/11</t>
        </is>
      </c>
      <c r="E590" s="9" t="n"/>
      <c r="F590" s="5" t="n">
        <v>23597</v>
      </c>
      <c r="G590" s="5" t="n">
        <v>1110479</v>
      </c>
      <c r="H590" s="6" t="inlineStr">
        <is>
          <t>IC Micro Controller PIC16F1823-I/SL</t>
        </is>
      </c>
      <c r="I590" s="6" t="inlineStr">
        <is>
          <t>عدد</t>
        </is>
      </c>
      <c r="J590" s="5" t="n">
        <v>1</v>
      </c>
      <c r="K590" s="5" t="n">
        <v>1</v>
      </c>
      <c r="L590" s="6" t="inlineStr">
        <is>
          <t>-</t>
        </is>
      </c>
      <c r="M590" s="9" t="n"/>
      <c r="N590" s="9" t="n"/>
      <c r="O590" s="5" t="n">
        <v>100</v>
      </c>
      <c r="P590" s="6" t="inlineStr">
        <is>
          <t>مصرف مستقیم</t>
        </is>
      </c>
      <c r="Q590" s="5">
        <f>SUMIFS('ورودی برنامه'!$D$4:$D$16,'ورودی برنامه'!$A$4:$A$16,A590,'ورودی برنامه'!$C$4:$C$16,C590)</f>
        <v>1200</v>
      </c>
      <c r="R590" s="5">
        <f>SUMIFS('ورودی برنامه'!$E$4:$E$16,'ورودی برنامه'!$A$4:$A$16,A590,'ورودی برنامه'!$C$4:$C$16,C590)</f>
        <v>2000</v>
      </c>
      <c r="S590" s="5">
        <f>ROUND(Q590*J590/K590*O590/100,10)</f>
        <v>1200</v>
      </c>
      <c r="T590" s="5">
        <f>ROUND(R590*J590/K590*O590/100,10)</f>
        <v>2000</v>
      </c>
      <c r="U590" s="5" t="n">
        <v>1200</v>
      </c>
      <c r="V590" s="5" t="n">
        <v>2000</v>
      </c>
    </row>
    <row r="591" ht="20" customHeight="1">
      <c r="A591" s="10" t="n">
        <v>1202151</v>
      </c>
      <c r="B591" s="11" t="inlineStr">
        <is>
          <t>کلید شیشه بالابر جلو چپ مونتاژ ماشینی شده CKD DRIVER SBCM</t>
        </is>
      </c>
      <c r="C591" s="11" t="inlineStr">
        <is>
          <t>12021510112</t>
        </is>
      </c>
      <c r="D591" s="11" t="inlineStr">
        <is>
          <t>1405/07/11</t>
        </is>
      </c>
      <c r="E591" s="13" t="n"/>
      <c r="F591" s="10" t="n">
        <v>24222</v>
      </c>
      <c r="G591" s="10" t="n">
        <v>1110095</v>
      </c>
      <c r="H591" s="11" t="inlineStr">
        <is>
          <t>Capacitor 100nF,X7R,50V,10%</t>
        </is>
      </c>
      <c r="I591" s="11" t="inlineStr">
        <is>
          <t>عدد</t>
        </is>
      </c>
      <c r="J591" s="10" t="n">
        <v>4</v>
      </c>
      <c r="K591" s="10" t="n">
        <v>1</v>
      </c>
      <c r="L591" s="11" t="inlineStr">
        <is>
          <t>-</t>
        </is>
      </c>
      <c r="M591" s="13" t="n"/>
      <c r="N591" s="13" t="n"/>
      <c r="O591" s="10" t="n">
        <v>100</v>
      </c>
      <c r="P591" s="11" t="inlineStr">
        <is>
          <t>مصرف مستقیم</t>
        </is>
      </c>
      <c r="Q591" s="10">
        <f>SUMIFS('ورودی برنامه'!$D$4:$D$16,'ورودی برنامه'!$A$4:$A$16,A591,'ورودی برنامه'!$C$4:$C$16,C591)</f>
        <v>1200</v>
      </c>
      <c r="R591" s="10">
        <f>SUMIFS('ورودی برنامه'!$E$4:$E$16,'ورودی برنامه'!$A$4:$A$16,A591,'ورودی برنامه'!$C$4:$C$16,C591)</f>
        <v>2000</v>
      </c>
      <c r="S591" s="10">
        <f>ROUND(Q591*J591/K591*O591/100,10)</f>
        <v>4800</v>
      </c>
      <c r="T591" s="10">
        <f>ROUND(R591*J591/K591*O591/100,10)</f>
        <v>8000</v>
      </c>
      <c r="U591" s="10" t="n">
        <v>4800</v>
      </c>
      <c r="V591" s="10" t="n">
        <v>8000</v>
      </c>
    </row>
    <row r="592" ht="20" customHeight="1">
      <c r="A592" s="5" t="n">
        <v>1202151</v>
      </c>
      <c r="B592" s="6" t="inlineStr">
        <is>
          <t>کلید شیشه بالابر جلو چپ مونتاژ ماشینی شده CKD DRIVER SBCM</t>
        </is>
      </c>
      <c r="C592" s="6" t="inlineStr">
        <is>
          <t>12021510112</t>
        </is>
      </c>
      <c r="D592" s="6" t="inlineStr">
        <is>
          <t>1405/07/11</t>
        </is>
      </c>
      <c r="E592" s="9" t="n"/>
      <c r="F592" s="5" t="n">
        <v>24661</v>
      </c>
      <c r="G592" s="5" t="n">
        <v>1110615</v>
      </c>
      <c r="H592" s="6" t="inlineStr">
        <is>
          <t>Transistor BCW68G</t>
        </is>
      </c>
      <c r="I592" s="6" t="inlineStr">
        <is>
          <t>عدد</t>
        </is>
      </c>
      <c r="J592" s="5" t="n">
        <v>4</v>
      </c>
      <c r="K592" s="5" t="n">
        <v>1</v>
      </c>
      <c r="L592" s="6" t="inlineStr">
        <is>
          <t>5</t>
        </is>
      </c>
      <c r="M592" s="5" t="n">
        <v>2</v>
      </c>
      <c r="N592" s="5" t="n">
        <v>100</v>
      </c>
      <c r="O592" s="5" t="n">
        <v>0</v>
      </c>
      <c r="P592" s="6" t="inlineStr">
        <is>
          <t>۱۰۰٪ تکراری؛ فقط اولویت اول</t>
        </is>
      </c>
      <c r="Q592" s="5">
        <f>SUMIFS('ورودی برنامه'!$D$4:$D$16,'ورودی برنامه'!$A$4:$A$16,A592,'ورودی برنامه'!$C$4:$C$16,C592)</f>
        <v>1200</v>
      </c>
      <c r="R592" s="5">
        <f>SUMIFS('ورودی برنامه'!$E$4:$E$16,'ورودی برنامه'!$A$4:$A$16,A592,'ورودی برنامه'!$C$4:$C$16,C592)</f>
        <v>2000</v>
      </c>
      <c r="S592" s="5">
        <f>ROUND(Q592*J592/K592*O592/100,10)</f>
        <v>0</v>
      </c>
      <c r="T592" s="5">
        <f>ROUND(R592*J592/K592*O592/100,10)</f>
        <v>0</v>
      </c>
      <c r="U592" s="5" t="n">
        <v>4800</v>
      </c>
      <c r="V592" s="5" t="n">
        <v>184</v>
      </c>
    </row>
    <row r="593" ht="20" customHeight="1">
      <c r="A593" s="10" t="n">
        <v>1202151</v>
      </c>
      <c r="B593" s="11" t="inlineStr">
        <is>
          <t>کلید شیشه بالابر جلو چپ مونتاژ ماشینی شده CKD DRIVER SBCM</t>
        </is>
      </c>
      <c r="C593" s="11" t="inlineStr">
        <is>
          <t>12021510112</t>
        </is>
      </c>
      <c r="D593" s="11" t="inlineStr">
        <is>
          <t>1405/07/11</t>
        </is>
      </c>
      <c r="E593" s="13" t="n"/>
      <c r="F593" s="10" t="n">
        <v>25355</v>
      </c>
      <c r="G593" s="10" t="n">
        <v>1110105</v>
      </c>
      <c r="H593" s="11" t="inlineStr">
        <is>
          <t>Electrolit Capacitor 100uF,16V,20% 105</t>
        </is>
      </c>
      <c r="I593" s="11" t="inlineStr">
        <is>
          <t>عدد</t>
        </is>
      </c>
      <c r="J593" s="10" t="n">
        <v>2</v>
      </c>
      <c r="K593" s="10" t="n">
        <v>1</v>
      </c>
      <c r="L593" s="11" t="inlineStr">
        <is>
          <t>-</t>
        </is>
      </c>
      <c r="M593" s="13" t="n"/>
      <c r="N593" s="13" t="n"/>
      <c r="O593" s="10" t="n">
        <v>100</v>
      </c>
      <c r="P593" s="11" t="inlineStr">
        <is>
          <t>مصرف مستقیم</t>
        </is>
      </c>
      <c r="Q593" s="10">
        <f>SUMIFS('ورودی برنامه'!$D$4:$D$16,'ورودی برنامه'!$A$4:$A$16,A593,'ورودی برنامه'!$C$4:$C$16,C593)</f>
        <v>1200</v>
      </c>
      <c r="R593" s="10">
        <f>SUMIFS('ورودی برنامه'!$E$4:$E$16,'ورودی برنامه'!$A$4:$A$16,A593,'ورودی برنامه'!$C$4:$C$16,C593)</f>
        <v>2000</v>
      </c>
      <c r="S593" s="10">
        <f>ROUND(Q593*J593/K593*O593/100,10)</f>
        <v>2400</v>
      </c>
      <c r="T593" s="10">
        <f>ROUND(R593*J593/K593*O593/100,10)</f>
        <v>4000</v>
      </c>
      <c r="U593" s="10" t="n">
        <v>2400</v>
      </c>
      <c r="V593" s="10" t="n">
        <v>4000</v>
      </c>
    </row>
    <row r="594" ht="20" customHeight="1">
      <c r="A594" s="5" t="n">
        <v>1202151</v>
      </c>
      <c r="B594" s="6" t="inlineStr">
        <is>
          <t>کلید شیشه بالابر جلو چپ مونتاژ ماشینی شده CKD DRIVER SBCM</t>
        </is>
      </c>
      <c r="C594" s="6" t="inlineStr">
        <is>
          <t>12021510112</t>
        </is>
      </c>
      <c r="D594" s="6" t="inlineStr">
        <is>
          <t>1405/07/11</t>
        </is>
      </c>
      <c r="E594" s="9" t="n"/>
      <c r="F594" s="5" t="n">
        <v>25358</v>
      </c>
      <c r="G594" s="5" t="n">
        <v>1110916</v>
      </c>
      <c r="H594" s="6" t="inlineStr">
        <is>
          <t>Diod PESD1LIN</t>
        </is>
      </c>
      <c r="I594" s="6" t="inlineStr">
        <is>
          <t>عدد</t>
        </is>
      </c>
      <c r="J594" s="5" t="n">
        <v>1</v>
      </c>
      <c r="K594" s="5" t="n">
        <v>1</v>
      </c>
      <c r="L594" s="6" t="inlineStr">
        <is>
          <t>-</t>
        </is>
      </c>
      <c r="M594" s="9" t="n"/>
      <c r="N594" s="9" t="n"/>
      <c r="O594" s="5" t="n">
        <v>100</v>
      </c>
      <c r="P594" s="6" t="inlineStr">
        <is>
          <t>مصرف مستقیم</t>
        </is>
      </c>
      <c r="Q594" s="5">
        <f>SUMIFS('ورودی برنامه'!$D$4:$D$16,'ورودی برنامه'!$A$4:$A$16,A594,'ورودی برنامه'!$C$4:$C$16,C594)</f>
        <v>1200</v>
      </c>
      <c r="R594" s="5">
        <f>SUMIFS('ورودی برنامه'!$E$4:$E$16,'ورودی برنامه'!$A$4:$A$16,A594,'ورودی برنامه'!$C$4:$C$16,C594)</f>
        <v>2000</v>
      </c>
      <c r="S594" s="5">
        <f>ROUND(Q594*J594/K594*O594/100,10)</f>
        <v>1200</v>
      </c>
      <c r="T594" s="5">
        <f>ROUND(R594*J594/K594*O594/100,10)</f>
        <v>2000</v>
      </c>
      <c r="U594" s="5" t="n">
        <v>1200</v>
      </c>
      <c r="V594" s="5" t="n">
        <v>2000</v>
      </c>
    </row>
    <row r="595" ht="20" customHeight="1">
      <c r="A595" s="10" t="n">
        <v>1202151</v>
      </c>
      <c r="B595" s="11" t="inlineStr">
        <is>
          <t>کلید شیشه بالابر جلو چپ مونتاژ ماشینی شده CKD DRIVER SBCM</t>
        </is>
      </c>
      <c r="C595" s="11" t="inlineStr">
        <is>
          <t>12021510112</t>
        </is>
      </c>
      <c r="D595" s="11" t="inlineStr">
        <is>
          <t>1405/07/11</t>
        </is>
      </c>
      <c r="E595" s="13" t="n"/>
      <c r="F595" s="10" t="n">
        <v>27499</v>
      </c>
      <c r="G595" s="10" t="n">
        <v>1110865</v>
      </c>
      <c r="H595" s="11" t="inlineStr">
        <is>
          <t>LED;IWS-L3022-PW-D1</t>
        </is>
      </c>
      <c r="I595" s="11" t="inlineStr">
        <is>
          <t>عدد</t>
        </is>
      </c>
      <c r="J595" s="10" t="n">
        <v>6</v>
      </c>
      <c r="K595" s="10" t="n">
        <v>1</v>
      </c>
      <c r="L595" s="11" t="inlineStr">
        <is>
          <t>-</t>
        </is>
      </c>
      <c r="M595" s="13" t="n"/>
      <c r="N595" s="13" t="n"/>
      <c r="O595" s="10" t="n">
        <v>100</v>
      </c>
      <c r="P595" s="11" t="inlineStr">
        <is>
          <t>مصرف مستقیم</t>
        </is>
      </c>
      <c r="Q595" s="10">
        <f>SUMIFS('ورودی برنامه'!$D$4:$D$16,'ورودی برنامه'!$A$4:$A$16,A595,'ورودی برنامه'!$C$4:$C$16,C595)</f>
        <v>1200</v>
      </c>
      <c r="R595" s="10">
        <f>SUMIFS('ورودی برنامه'!$E$4:$E$16,'ورودی برنامه'!$A$4:$A$16,A595,'ورودی برنامه'!$C$4:$C$16,C595)</f>
        <v>2000</v>
      </c>
      <c r="S595" s="10">
        <f>ROUND(Q595*J595/K595*O595/100,10)</f>
        <v>7200</v>
      </c>
      <c r="T595" s="10">
        <f>ROUND(R595*J595/K595*O595/100,10)</f>
        <v>12000</v>
      </c>
      <c r="U595" s="10" t="n">
        <v>7200</v>
      </c>
      <c r="V595" s="10" t="n">
        <v>12000</v>
      </c>
    </row>
    <row r="596" ht="20" customHeight="1">
      <c r="A596" s="5" t="n">
        <v>1202151</v>
      </c>
      <c r="B596" s="6" t="inlineStr">
        <is>
          <t>کلید شیشه بالابر جلو چپ مونتاژ ماشینی شده CKD DRIVER SBCM</t>
        </is>
      </c>
      <c r="C596" s="6" t="inlineStr">
        <is>
          <t>12021510112</t>
        </is>
      </c>
      <c r="D596" s="6" t="inlineStr">
        <is>
          <t>1405/07/11</t>
        </is>
      </c>
      <c r="E596" s="9" t="n"/>
      <c r="F596" s="5" t="n">
        <v>27801</v>
      </c>
      <c r="G596" s="5" t="n">
        <v>1110183</v>
      </c>
      <c r="H596" s="6" t="inlineStr">
        <is>
          <t>Resistor 10K,5%,1/10W 0603</t>
        </is>
      </c>
      <c r="I596" s="6" t="inlineStr">
        <is>
          <t>عدد</t>
        </is>
      </c>
      <c r="J596" s="5" t="n">
        <v>16</v>
      </c>
      <c r="K596" s="5" t="n">
        <v>1</v>
      </c>
      <c r="L596" s="6" t="inlineStr">
        <is>
          <t>-</t>
        </is>
      </c>
      <c r="M596" s="9" t="n"/>
      <c r="N596" s="9" t="n"/>
      <c r="O596" s="5" t="n">
        <v>100</v>
      </c>
      <c r="P596" s="6" t="inlineStr">
        <is>
          <t>مصرف مستقیم</t>
        </is>
      </c>
      <c r="Q596" s="5">
        <f>SUMIFS('ورودی برنامه'!$D$4:$D$16,'ورودی برنامه'!$A$4:$A$16,A596,'ورودی برنامه'!$C$4:$C$16,C596)</f>
        <v>1200</v>
      </c>
      <c r="R596" s="5">
        <f>SUMIFS('ورودی برنامه'!$E$4:$E$16,'ورودی برنامه'!$A$4:$A$16,A596,'ورودی برنامه'!$C$4:$C$16,C596)</f>
        <v>2000</v>
      </c>
      <c r="S596" s="5">
        <f>ROUND(Q596*J596/K596*O596/100,10)</f>
        <v>19200</v>
      </c>
      <c r="T596" s="5">
        <f>ROUND(R596*J596/K596*O596/100,10)</f>
        <v>32000</v>
      </c>
      <c r="U596" s="5" t="n">
        <v>19200</v>
      </c>
      <c r="V596" s="5" t="n">
        <v>32000</v>
      </c>
    </row>
    <row r="597" ht="20" customHeight="1">
      <c r="A597" s="10" t="n">
        <v>1202151</v>
      </c>
      <c r="B597" s="11" t="inlineStr">
        <is>
          <t>کلید شیشه بالابر جلو چپ مونتاژ ماشینی شده CKD DRIVER SBCM</t>
        </is>
      </c>
      <c r="C597" s="11" t="inlineStr">
        <is>
          <t>12021510112</t>
        </is>
      </c>
      <c r="D597" s="11" t="inlineStr">
        <is>
          <t>1405/07/11</t>
        </is>
      </c>
      <c r="E597" s="13" t="n"/>
      <c r="F597" s="10" t="n">
        <v>28627</v>
      </c>
      <c r="G597" s="10" t="n">
        <v>1110180</v>
      </c>
      <c r="H597" s="11" t="inlineStr">
        <is>
          <t>Resistor 100k, 5%, 1/10w, 0603</t>
        </is>
      </c>
      <c r="I597" s="11" t="inlineStr">
        <is>
          <t>عدد</t>
        </is>
      </c>
      <c r="J597" s="10" t="n">
        <v>1</v>
      </c>
      <c r="K597" s="10" t="n">
        <v>1</v>
      </c>
      <c r="L597" s="11" t="inlineStr">
        <is>
          <t>-</t>
        </is>
      </c>
      <c r="M597" s="13" t="n"/>
      <c r="N597" s="13" t="n"/>
      <c r="O597" s="10" t="n">
        <v>100</v>
      </c>
      <c r="P597" s="11" t="inlineStr">
        <is>
          <t>مصرف مستقیم</t>
        </is>
      </c>
      <c r="Q597" s="10">
        <f>SUMIFS('ورودی برنامه'!$D$4:$D$16,'ورودی برنامه'!$A$4:$A$16,A597,'ورودی برنامه'!$C$4:$C$16,C597)</f>
        <v>1200</v>
      </c>
      <c r="R597" s="10">
        <f>SUMIFS('ورودی برنامه'!$E$4:$E$16,'ورودی برنامه'!$A$4:$A$16,A597,'ورودی برنامه'!$C$4:$C$16,C597)</f>
        <v>2000</v>
      </c>
      <c r="S597" s="10">
        <f>ROUND(Q597*J597/K597*O597/100,10)</f>
        <v>1200</v>
      </c>
      <c r="T597" s="10">
        <f>ROUND(R597*J597/K597*O597/100,10)</f>
        <v>2000</v>
      </c>
      <c r="U597" s="10" t="n">
        <v>1200</v>
      </c>
      <c r="V597" s="10" t="n">
        <v>2000</v>
      </c>
    </row>
    <row r="598" ht="20" customHeight="1">
      <c r="A598" s="5" t="n">
        <v>1202151</v>
      </c>
      <c r="B598" s="6" t="inlineStr">
        <is>
          <t>کلید شیشه بالابر جلو چپ مونتاژ ماشینی شده CKD DRIVER SBCM</t>
        </is>
      </c>
      <c r="C598" s="6" t="inlineStr">
        <is>
          <t>12021510112</t>
        </is>
      </c>
      <c r="D598" s="6" t="inlineStr">
        <is>
          <t>1405/07/11</t>
        </is>
      </c>
      <c r="E598" s="9" t="n"/>
      <c r="F598" s="5" t="n">
        <v>28630</v>
      </c>
      <c r="G598" s="5" t="n">
        <v>1110178</v>
      </c>
      <c r="H598" s="6" t="inlineStr">
        <is>
          <t>Resistor 8.2k, 5% ,1/4W, 3216</t>
        </is>
      </c>
      <c r="I598" s="6" t="inlineStr">
        <is>
          <t>عدد</t>
        </is>
      </c>
      <c r="J598" s="5" t="n">
        <v>6</v>
      </c>
      <c r="K598" s="5" t="n">
        <v>1</v>
      </c>
      <c r="L598" s="6" t="inlineStr">
        <is>
          <t>3</t>
        </is>
      </c>
      <c r="M598" s="5" t="n">
        <v>1</v>
      </c>
      <c r="N598" s="5" t="n">
        <v>100</v>
      </c>
      <c r="O598" s="5" t="n">
        <v>100</v>
      </c>
      <c r="P598" s="6" t="inlineStr">
        <is>
          <t>۱۰۰٪ تکراری؛ فقط اولویت اول</t>
        </is>
      </c>
      <c r="Q598" s="5">
        <f>SUMIFS('ورودی برنامه'!$D$4:$D$16,'ورودی برنامه'!$A$4:$A$16,A598,'ورودی برنامه'!$C$4:$C$16,C598)</f>
        <v>1200</v>
      </c>
      <c r="R598" s="5">
        <f>SUMIFS('ورودی برنامه'!$E$4:$E$16,'ورودی برنامه'!$A$4:$A$16,A598,'ورودی برنامه'!$C$4:$C$16,C598)</f>
        <v>2000</v>
      </c>
      <c r="S598" s="5">
        <f>ROUND(Q598*J598/K598*O598/100,10)</f>
        <v>7200</v>
      </c>
      <c r="T598" s="5">
        <f>ROUND(R598*J598/K598*O598/100,10)</f>
        <v>12000</v>
      </c>
      <c r="U598" s="5" t="n">
        <v>7200</v>
      </c>
      <c r="V598" s="5" t="n">
        <v>12000</v>
      </c>
    </row>
    <row r="599" ht="20" customHeight="1">
      <c r="A599" s="10" t="n">
        <v>1202151</v>
      </c>
      <c r="B599" s="11" t="inlineStr">
        <is>
          <t>کلید شیشه بالابر جلو چپ مونتاژ ماشینی شده CKD DRIVER SBCM</t>
        </is>
      </c>
      <c r="C599" s="11" t="inlineStr">
        <is>
          <t>12021510112</t>
        </is>
      </c>
      <c r="D599" s="11" t="inlineStr">
        <is>
          <t>1405/07/11</t>
        </is>
      </c>
      <c r="E599" s="13" t="n"/>
      <c r="F599" s="10" t="n">
        <v>30680</v>
      </c>
      <c r="G599" s="10" t="n">
        <v>1110919</v>
      </c>
      <c r="H599" s="11" t="inlineStr">
        <is>
          <t>DIODE S3MB</t>
        </is>
      </c>
      <c r="I599" s="11" t="inlineStr">
        <is>
          <t>عدد</t>
        </is>
      </c>
      <c r="J599" s="10" t="n">
        <v>1</v>
      </c>
      <c r="K599" s="10" t="n">
        <v>1</v>
      </c>
      <c r="L599" s="11" t="inlineStr">
        <is>
          <t>-</t>
        </is>
      </c>
      <c r="M599" s="13" t="n"/>
      <c r="N599" s="13" t="n"/>
      <c r="O599" s="10" t="n">
        <v>100</v>
      </c>
      <c r="P599" s="11" t="inlineStr">
        <is>
          <t>مصرف مستقیم</t>
        </is>
      </c>
      <c r="Q599" s="10">
        <f>SUMIFS('ورودی برنامه'!$D$4:$D$16,'ورودی برنامه'!$A$4:$A$16,A599,'ورودی برنامه'!$C$4:$C$16,C599)</f>
        <v>1200</v>
      </c>
      <c r="R599" s="10">
        <f>SUMIFS('ورودی برنامه'!$E$4:$E$16,'ورودی برنامه'!$A$4:$A$16,A599,'ورودی برنامه'!$C$4:$C$16,C599)</f>
        <v>2000</v>
      </c>
      <c r="S599" s="10">
        <f>ROUND(Q599*J599/K599*O599/100,10)</f>
        <v>1200</v>
      </c>
      <c r="T599" s="10">
        <f>ROUND(R599*J599/K599*O599/100,10)</f>
        <v>2000</v>
      </c>
      <c r="U599" s="10" t="n">
        <v>1200</v>
      </c>
      <c r="V599" s="10" t="n">
        <v>2000</v>
      </c>
    </row>
    <row r="600" ht="20" customHeight="1">
      <c r="A600" s="5" t="n">
        <v>1202151</v>
      </c>
      <c r="B600" s="6" t="inlineStr">
        <is>
          <t>کلید شیشه بالابر جلو چپ مونتاژ ماشینی شده CKD DRIVER SBCM</t>
        </is>
      </c>
      <c r="C600" s="6" t="inlineStr">
        <is>
          <t>12021510112</t>
        </is>
      </c>
      <c r="D600" s="6" t="inlineStr">
        <is>
          <t>1405/07/11</t>
        </is>
      </c>
      <c r="E600" s="9" t="n"/>
      <c r="F600" s="5" t="n">
        <v>30946</v>
      </c>
      <c r="G600" s="5" t="n">
        <v>1110491</v>
      </c>
      <c r="H600" s="6" t="inlineStr">
        <is>
          <t>IC L9950XP</t>
        </is>
      </c>
      <c r="I600" s="6" t="inlineStr">
        <is>
          <t>عدد</t>
        </is>
      </c>
      <c r="J600" s="5" t="n">
        <v>1</v>
      </c>
      <c r="K600" s="5" t="n">
        <v>1</v>
      </c>
      <c r="L600" s="6" t="inlineStr">
        <is>
          <t>-</t>
        </is>
      </c>
      <c r="M600" s="9" t="n"/>
      <c r="N600" s="9" t="n"/>
      <c r="O600" s="5" t="n">
        <v>100</v>
      </c>
      <c r="P600" s="6" t="inlineStr">
        <is>
          <t>مصرف مستقیم</t>
        </is>
      </c>
      <c r="Q600" s="5">
        <f>SUMIFS('ورودی برنامه'!$D$4:$D$16,'ورودی برنامه'!$A$4:$A$16,A600,'ورودی برنامه'!$C$4:$C$16,C600)</f>
        <v>1200</v>
      </c>
      <c r="R600" s="5">
        <f>SUMIFS('ورودی برنامه'!$E$4:$E$16,'ورودی برنامه'!$A$4:$A$16,A600,'ورودی برنامه'!$C$4:$C$16,C600)</f>
        <v>2000</v>
      </c>
      <c r="S600" s="5">
        <f>ROUND(Q600*J600/K600*O600/100,10)</f>
        <v>1200</v>
      </c>
      <c r="T600" s="5">
        <f>ROUND(R600*J600/K600*O600/100,10)</f>
        <v>2000</v>
      </c>
      <c r="U600" s="5" t="n">
        <v>1200</v>
      </c>
      <c r="V600" s="5" t="n">
        <v>2000</v>
      </c>
    </row>
    <row r="601" ht="20" customHeight="1">
      <c r="A601" s="10" t="n">
        <v>1202151</v>
      </c>
      <c r="B601" s="11" t="inlineStr">
        <is>
          <t>کلید شیشه بالابر جلو چپ مونتاژ ماشینی شده CKD DRIVER SBCM</t>
        </is>
      </c>
      <c r="C601" s="11" t="inlineStr">
        <is>
          <t>12021510112</t>
        </is>
      </c>
      <c r="D601" s="11" t="inlineStr">
        <is>
          <t>1405/07/11</t>
        </is>
      </c>
      <c r="E601" s="13" t="n"/>
      <c r="F601" s="10" t="n">
        <v>31705</v>
      </c>
      <c r="G601" s="10" t="n">
        <v>1110708</v>
      </c>
      <c r="H601" s="11" t="inlineStr">
        <is>
          <t>Resistor 1K,5%,1/10W (3004604</t>
        </is>
      </c>
      <c r="I601" s="11" t="inlineStr">
        <is>
          <t>عدد</t>
        </is>
      </c>
      <c r="J601" s="10" t="n">
        <v>11</v>
      </c>
      <c r="K601" s="10" t="n">
        <v>1</v>
      </c>
      <c r="L601" s="11" t="inlineStr">
        <is>
          <t>-</t>
        </is>
      </c>
      <c r="M601" s="13" t="n"/>
      <c r="N601" s="13" t="n"/>
      <c r="O601" s="10" t="n">
        <v>100</v>
      </c>
      <c r="P601" s="11" t="inlineStr">
        <is>
          <t>مصرف مستقیم</t>
        </is>
      </c>
      <c r="Q601" s="10">
        <f>SUMIFS('ورودی برنامه'!$D$4:$D$16,'ورودی برنامه'!$A$4:$A$16,A601,'ورودی برنامه'!$C$4:$C$16,C601)</f>
        <v>1200</v>
      </c>
      <c r="R601" s="10">
        <f>SUMIFS('ورودی برنامه'!$E$4:$E$16,'ورودی برنامه'!$A$4:$A$16,A601,'ورودی برنامه'!$C$4:$C$16,C601)</f>
        <v>2000</v>
      </c>
      <c r="S601" s="10">
        <f>ROUND(Q601*J601/K601*O601/100,10)</f>
        <v>13200</v>
      </c>
      <c r="T601" s="10">
        <f>ROUND(R601*J601/K601*O601/100,10)</f>
        <v>22000</v>
      </c>
      <c r="U601" s="10" t="n">
        <v>13200</v>
      </c>
      <c r="V601" s="10" t="n">
        <v>22000</v>
      </c>
    </row>
    <row r="602" ht="20" customHeight="1">
      <c r="A602" s="5" t="n">
        <v>1202151</v>
      </c>
      <c r="B602" s="6" t="inlineStr">
        <is>
          <t>کلید شیشه بالابر جلو چپ مونتاژ ماشینی شده CKD DRIVER SBCM</t>
        </is>
      </c>
      <c r="C602" s="6" t="inlineStr">
        <is>
          <t>12021510112</t>
        </is>
      </c>
      <c r="D602" s="6" t="inlineStr">
        <is>
          <t>1405/07/11</t>
        </is>
      </c>
      <c r="E602" s="9" t="n"/>
      <c r="F602" s="5" t="n">
        <v>31991</v>
      </c>
      <c r="G602" s="5" t="n">
        <v>1110714</v>
      </c>
      <c r="H602" s="6" t="inlineStr">
        <is>
          <t>Resistor 22K,1%,1/10W</t>
        </is>
      </c>
      <c r="I602" s="6" t="inlineStr">
        <is>
          <t>عدد</t>
        </is>
      </c>
      <c r="J602" s="5" t="n">
        <v>2</v>
      </c>
      <c r="K602" s="5" t="n">
        <v>1</v>
      </c>
      <c r="L602" s="6" t="inlineStr">
        <is>
          <t>2</t>
        </is>
      </c>
      <c r="M602" s="5" t="n">
        <v>2</v>
      </c>
      <c r="N602" s="5" t="n">
        <v>100</v>
      </c>
      <c r="O602" s="5" t="n">
        <v>0</v>
      </c>
      <c r="P602" s="6" t="inlineStr">
        <is>
          <t>۱۰۰٪ تکراری؛ فقط اولویت اول</t>
        </is>
      </c>
      <c r="Q602" s="5">
        <f>SUMIFS('ورودی برنامه'!$D$4:$D$16,'ورودی برنامه'!$A$4:$A$16,A602,'ورودی برنامه'!$C$4:$C$16,C602)</f>
        <v>1200</v>
      </c>
      <c r="R602" s="5">
        <f>SUMIFS('ورودی برنامه'!$E$4:$E$16,'ورودی برنامه'!$A$4:$A$16,A602,'ورودی برنامه'!$C$4:$C$16,C602)</f>
        <v>2000</v>
      </c>
      <c r="S602" s="5">
        <f>ROUND(Q602*J602/K602*O602/100,10)</f>
        <v>0</v>
      </c>
      <c r="T602" s="5">
        <f>ROUND(R602*J602/K602*O602/100,10)</f>
        <v>0</v>
      </c>
      <c r="U602" s="5" t="n">
        <v>0</v>
      </c>
      <c r="V602" s="5" t="n">
        <v>0</v>
      </c>
    </row>
    <row r="603" ht="20" customHeight="1">
      <c r="A603" s="10" t="n">
        <v>1202151</v>
      </c>
      <c r="B603" s="11" t="inlineStr">
        <is>
          <t>کلید شیشه بالابر جلو چپ مونتاژ ماشینی شده CKD DRIVER SBCM</t>
        </is>
      </c>
      <c r="C603" s="11" t="inlineStr">
        <is>
          <t>12021510112</t>
        </is>
      </c>
      <c r="D603" s="11" t="inlineStr">
        <is>
          <t>1405/07/11</t>
        </is>
      </c>
      <c r="E603" s="13" t="n"/>
      <c r="F603" s="10" t="n">
        <v>32260</v>
      </c>
      <c r="G603" s="10" t="n">
        <v>1110770</v>
      </c>
      <c r="H603" s="11" t="inlineStr">
        <is>
          <t>Resistor PTC</t>
        </is>
      </c>
      <c r="I603" s="11" t="inlineStr">
        <is>
          <t>عدد</t>
        </is>
      </c>
      <c r="J603" s="10" t="n">
        <v>3</v>
      </c>
      <c r="K603" s="10" t="n">
        <v>1</v>
      </c>
      <c r="L603" s="11" t="inlineStr">
        <is>
          <t>4</t>
        </is>
      </c>
      <c r="M603" s="10" t="n">
        <v>1</v>
      </c>
      <c r="N603" s="10" t="n">
        <v>100</v>
      </c>
      <c r="O603" s="10" t="n">
        <v>100</v>
      </c>
      <c r="P603" s="11" t="inlineStr">
        <is>
          <t>۱۰۰٪ تکراری؛ فقط اولویت اول</t>
        </is>
      </c>
      <c r="Q603" s="10">
        <f>SUMIFS('ورودی برنامه'!$D$4:$D$16,'ورودی برنامه'!$A$4:$A$16,A603,'ورودی برنامه'!$C$4:$C$16,C603)</f>
        <v>1200</v>
      </c>
      <c r="R603" s="10">
        <f>SUMIFS('ورودی برنامه'!$E$4:$E$16,'ورودی برنامه'!$A$4:$A$16,A603,'ورودی برنامه'!$C$4:$C$16,C603)</f>
        <v>2000</v>
      </c>
      <c r="S603" s="10">
        <f>ROUND(Q603*J603/K603*O603/100,10)</f>
        <v>3600</v>
      </c>
      <c r="T603" s="10">
        <f>ROUND(R603*J603/K603*O603/100,10)</f>
        <v>6000</v>
      </c>
      <c r="U603" s="10" t="n">
        <v>3600</v>
      </c>
      <c r="V603" s="10" t="n">
        <v>6000</v>
      </c>
    </row>
    <row r="604" ht="20" customHeight="1">
      <c r="A604" s="5" t="n">
        <v>1202151</v>
      </c>
      <c r="B604" s="6" t="inlineStr">
        <is>
          <t>کلید شیشه بالابر جلو چپ مونتاژ ماشینی شده CKD DRIVER SBCM</t>
        </is>
      </c>
      <c r="C604" s="6" t="inlineStr">
        <is>
          <t>12021510112</t>
        </is>
      </c>
      <c r="D604" s="6" t="inlineStr">
        <is>
          <t>1405/07/11</t>
        </is>
      </c>
      <c r="E604" s="9" t="n"/>
      <c r="F604" s="5" t="n">
        <v>35400</v>
      </c>
      <c r="G604" s="5" t="n">
        <v>1110808</v>
      </c>
      <c r="H604" s="6" t="inlineStr">
        <is>
          <t>Diode Zener BZT52B5V6</t>
        </is>
      </c>
      <c r="I604" s="6" t="inlineStr">
        <is>
          <t>عدد</t>
        </is>
      </c>
      <c r="J604" s="5" t="n">
        <v>1</v>
      </c>
      <c r="K604" s="5" t="n">
        <v>1</v>
      </c>
      <c r="L604" s="6" t="inlineStr">
        <is>
          <t>-</t>
        </is>
      </c>
      <c r="M604" s="9" t="n"/>
      <c r="N604" s="9" t="n"/>
      <c r="O604" s="5" t="n">
        <v>100</v>
      </c>
      <c r="P604" s="6" t="inlineStr">
        <is>
          <t>مصرف مستقیم</t>
        </is>
      </c>
      <c r="Q604" s="5">
        <f>SUMIFS('ورودی برنامه'!$D$4:$D$16,'ورودی برنامه'!$A$4:$A$16,A604,'ورودی برنامه'!$C$4:$C$16,C604)</f>
        <v>1200</v>
      </c>
      <c r="R604" s="5">
        <f>SUMIFS('ورودی برنامه'!$E$4:$E$16,'ورودی برنامه'!$A$4:$A$16,A604,'ورودی برنامه'!$C$4:$C$16,C604)</f>
        <v>2000</v>
      </c>
      <c r="S604" s="5">
        <f>ROUND(Q604*J604/K604*O604/100,10)</f>
        <v>1200</v>
      </c>
      <c r="T604" s="5">
        <f>ROUND(R604*J604/K604*O604/100,10)</f>
        <v>2000</v>
      </c>
      <c r="U604" s="5" t="n">
        <v>1200</v>
      </c>
      <c r="V604" s="5" t="n">
        <v>2000</v>
      </c>
    </row>
    <row r="605" ht="20" customHeight="1">
      <c r="A605" s="10" t="n">
        <v>1202151</v>
      </c>
      <c r="B605" s="11" t="inlineStr">
        <is>
          <t>کلید شیشه بالابر جلو چپ مونتاژ ماشینی شده CKD DRIVER SBCM</t>
        </is>
      </c>
      <c r="C605" s="11" t="inlineStr">
        <is>
          <t>12021510112</t>
        </is>
      </c>
      <c r="D605" s="11" t="inlineStr">
        <is>
          <t>1405/07/11</t>
        </is>
      </c>
      <c r="E605" s="13" t="n"/>
      <c r="F605" s="10" t="n">
        <v>37549</v>
      </c>
      <c r="G605" s="10" t="n">
        <v>1110901</v>
      </c>
      <c r="H605" s="11" t="inlineStr">
        <is>
          <t>Diode 1N4007WS</t>
        </is>
      </c>
      <c r="I605" s="11" t="inlineStr">
        <is>
          <t>عدد</t>
        </is>
      </c>
      <c r="J605" s="10" t="n">
        <v>12</v>
      </c>
      <c r="K605" s="10" t="n">
        <v>1</v>
      </c>
      <c r="L605" s="11" t="inlineStr">
        <is>
          <t>1</t>
        </is>
      </c>
      <c r="M605" s="10" t="n">
        <v>2</v>
      </c>
      <c r="N605" s="10" t="n">
        <v>100</v>
      </c>
      <c r="O605" s="10" t="n">
        <v>0</v>
      </c>
      <c r="P605" s="11" t="inlineStr">
        <is>
          <t>۱۰۰٪ تکراری؛ فقط اولویت اول</t>
        </is>
      </c>
      <c r="Q605" s="10">
        <f>SUMIFS('ورودی برنامه'!$D$4:$D$16,'ورودی برنامه'!$A$4:$A$16,A605,'ورودی برنامه'!$C$4:$C$16,C605)</f>
        <v>1200</v>
      </c>
      <c r="R605" s="10">
        <f>SUMIFS('ورودی برنامه'!$E$4:$E$16,'ورودی برنامه'!$A$4:$A$16,A605,'ورودی برنامه'!$C$4:$C$16,C605)</f>
        <v>2000</v>
      </c>
      <c r="S605" s="10">
        <f>ROUND(Q605*J605/K605*O605/100,10)</f>
        <v>0</v>
      </c>
      <c r="T605" s="10">
        <f>ROUND(R605*J605/K605*O605/100,10)</f>
        <v>0</v>
      </c>
      <c r="U605" s="10" t="n">
        <v>0</v>
      </c>
      <c r="V605" s="10" t="n">
        <v>0</v>
      </c>
    </row>
    <row r="606" ht="20" customHeight="1">
      <c r="A606" s="5" t="n">
        <v>1202151</v>
      </c>
      <c r="B606" s="6" t="inlineStr">
        <is>
          <t>کلید شیشه بالابر جلو چپ مونتاژ ماشینی شده CKD DRIVER SBCM</t>
        </is>
      </c>
      <c r="C606" s="6" t="inlineStr">
        <is>
          <t>12021510112</t>
        </is>
      </c>
      <c r="D606" s="6" t="inlineStr">
        <is>
          <t>1405/07/11</t>
        </is>
      </c>
      <c r="E606" s="9" t="n"/>
      <c r="F606" s="5" t="n">
        <v>37825</v>
      </c>
      <c r="G606" s="5" t="n">
        <v>1111016</v>
      </c>
      <c r="H606" s="6" t="inlineStr">
        <is>
          <t>IC TLE7259-3GE</t>
        </is>
      </c>
      <c r="I606" s="6" t="inlineStr">
        <is>
          <t>عدد</t>
        </is>
      </c>
      <c r="J606" s="5" t="n">
        <v>1</v>
      </c>
      <c r="K606" s="5" t="n">
        <v>1</v>
      </c>
      <c r="L606" s="6" t="inlineStr">
        <is>
          <t>-</t>
        </is>
      </c>
      <c r="M606" s="9" t="n"/>
      <c r="N606" s="9" t="n"/>
      <c r="O606" s="5" t="n">
        <v>100</v>
      </c>
      <c r="P606" s="6" t="inlineStr">
        <is>
          <t>مصرف مستقیم</t>
        </is>
      </c>
      <c r="Q606" s="5">
        <f>SUMIFS('ورودی برنامه'!$D$4:$D$16,'ورودی برنامه'!$A$4:$A$16,A606,'ورودی برنامه'!$C$4:$C$16,C606)</f>
        <v>1200</v>
      </c>
      <c r="R606" s="5">
        <f>SUMIFS('ورودی برنامه'!$E$4:$E$16,'ورودی برنامه'!$A$4:$A$16,A606,'ورودی برنامه'!$C$4:$C$16,C606)</f>
        <v>2000</v>
      </c>
      <c r="S606" s="5">
        <f>ROUND(Q606*J606/K606*O606/100,10)</f>
        <v>1200</v>
      </c>
      <c r="T606" s="5">
        <f>ROUND(R606*J606/K606*O606/100,10)</f>
        <v>2000</v>
      </c>
      <c r="U606" s="5" t="n">
        <v>1200</v>
      </c>
      <c r="V606" s="5" t="n">
        <v>2000</v>
      </c>
    </row>
    <row r="607" ht="20" customHeight="1">
      <c r="A607" s="10" t="n">
        <v>1202151</v>
      </c>
      <c r="B607" s="11" t="inlineStr">
        <is>
          <t>کلید شیشه بالابر جلو چپ مونتاژ ماشینی شده CKD DRIVER SBCM</t>
        </is>
      </c>
      <c r="C607" s="11" t="inlineStr">
        <is>
          <t>12021510112</t>
        </is>
      </c>
      <c r="D607" s="11" t="inlineStr">
        <is>
          <t>1405/07/11</t>
        </is>
      </c>
      <c r="E607" s="13" t="n"/>
      <c r="F607" s="10" t="n">
        <v>38076</v>
      </c>
      <c r="G607" s="10" t="n">
        <v>1110765</v>
      </c>
      <c r="H607" s="11" t="inlineStr">
        <is>
          <t>Resistor 8.2k, 1%, 1/4w</t>
        </is>
      </c>
      <c r="I607" s="11" t="inlineStr">
        <is>
          <t>عدد</t>
        </is>
      </c>
      <c r="J607" s="10" t="n">
        <v>6</v>
      </c>
      <c r="K607" s="10" t="n">
        <v>1</v>
      </c>
      <c r="L607" s="11" t="inlineStr">
        <is>
          <t>3</t>
        </is>
      </c>
      <c r="M607" s="10" t="n">
        <v>2</v>
      </c>
      <c r="N607" s="10" t="n">
        <v>100</v>
      </c>
      <c r="O607" s="10" t="n">
        <v>0</v>
      </c>
      <c r="P607" s="11" t="inlineStr">
        <is>
          <t>۱۰۰٪ تکراری؛ فقط اولویت اول</t>
        </is>
      </c>
      <c r="Q607" s="10">
        <f>SUMIFS('ورودی برنامه'!$D$4:$D$16,'ورودی برنامه'!$A$4:$A$16,A607,'ورودی برنامه'!$C$4:$C$16,C607)</f>
        <v>1200</v>
      </c>
      <c r="R607" s="10">
        <f>SUMIFS('ورودی برنامه'!$E$4:$E$16,'ورودی برنامه'!$A$4:$A$16,A607,'ورودی برنامه'!$C$4:$C$16,C607)</f>
        <v>2000</v>
      </c>
      <c r="S607" s="10">
        <f>ROUND(Q607*J607/K607*O607/100,10)</f>
        <v>0</v>
      </c>
      <c r="T607" s="10">
        <f>ROUND(R607*J607/K607*O607/100,10)</f>
        <v>0</v>
      </c>
      <c r="U607" s="10" t="n">
        <v>0</v>
      </c>
      <c r="V607" s="10" t="n">
        <v>0</v>
      </c>
    </row>
  </sheetData>
  <autoFilter ref="A3:V607"/>
  <mergeCells count="2">
    <mergeCell ref="A2:V2"/>
    <mergeCell ref="A1:V1"/>
  </mergeCells>
  <pageMargins left="0.75" right="0.75" top="1" bottom="1" header="0.5" footer="0.5"/>
  <pageSetup fitToWidth="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B21"/>
  <sheetViews>
    <sheetView rightToLeft="1" workbookViewId="0">
      <pane xSplit="1" ySplit="1" topLeftCell="B2" activePane="bottomRight" state="frozen"/>
      <selection pane="topRight"/>
      <selection pane="bottomLeft"/>
      <selection pane="bottomRight" activeCell="A1" sqref="A1"/>
    </sheetView>
  </sheetViews>
  <sheetFormatPr baseColWidth="8" defaultRowHeight="15"/>
  <cols>
    <col width="27" customWidth="1" min="1" max="1"/>
    <col width="125" customWidth="1" min="2" max="2"/>
  </cols>
  <sheetData>
    <row r="1" ht="32" customHeight="1">
      <c r="A1" s="1" t="inlineStr">
        <is>
          <t>راهنمای برآورد و مواردی که باید قبل از ثبت درخواست تأیید شوند</t>
        </is>
      </c>
    </row>
    <row r="2" ht="42" customHeight="1">
      <c r="A2" s="16" t="inlineStr">
        <is>
          <t>دیدن فرمول</t>
        </is>
      </c>
      <c r="B2" s="17" t="inlineStr">
        <is>
          <t>در اکسل روی عدد دلخواه در ستون «مقدار درخواست» یا روی سلول‌های نیاز در صفحه «جزئیات BOM» کلیک کنید؛ فرمول واقعی در نوار فرمول بالای صفحه نمایش داده می‌شود.</t>
        </is>
      </c>
    </row>
    <row r="3" ht="58" customHeight="1">
      <c r="A3" s="18" t="inlineStr">
        <is>
          <t>ویرایش برنامه</t>
        </is>
      </c>
      <c r="B3" s="19" t="inlineStr">
        <is>
          <t>تعدادهای سه‌روز و بعدی در ستون‌های آبی صفحه «ورودی برنامه» قابل ویرایش‌اند. با تغییر آنها و محاسبه خودکار اکسل، نیاز هر محصول و جمع نیاز و درخواست اصلی به‌روز می‌شود. موجودی در ستون G صفحه درخواست نیز قابل ویرایش است.</t>
        </is>
      </c>
    </row>
    <row r="4" ht="58" customHeight="1">
      <c r="A4" s="16" t="inlineStr">
        <is>
          <t>محدوده به‌روزرسانی</t>
        </is>
      </c>
      <c r="B4" s="17" t="inlineStr">
        <is>
          <t>فرمول‌ها فقط ردیف‌ها و BOMهای انتخاب‌شده در همین فایل را محاسبه می‌کنند. افزودن محصول، تغییر دوره یا انتخاب نسخه جدید BOM به بازتولید فایل نیاز دارد. اکسل را در حالت محاسبه خودکار نگه دارید.</t>
        </is>
      </c>
    </row>
    <row r="5" ht="42" customHeight="1">
      <c r="A5" s="18" t="inlineStr">
        <is>
          <t>ماهیت خروجی</t>
        </is>
      </c>
      <c r="B5" s="19" t="inlineStr">
        <is>
          <t>پیش‌نویس برآورد است، نه تأیید اجرای تولید، موجودی انبار مواد یا درخواست باز. در صفحه اول ستون‌های نمونه خروجی حفظ شده‌اند.</t>
        </is>
      </c>
    </row>
    <row r="6" ht="42" customHeight="1">
      <c r="A6" s="16" t="inlineStr">
        <is>
          <t>محصولات</t>
        </is>
      </c>
      <c r="B6" s="17" t="inlineStr">
        <is>
          <t>فقط کد محصول‌هایی که با ۱۲ شروع می‌شوند از برنامه‌ها انتخاب شده‌اند. کدهای خروجی، قطعات مصرفی BOM هستند و لزوماً با ۱۲ شروع نمی‌شوند.</t>
        </is>
      </c>
    </row>
    <row r="7" ht="42" customHeight="1">
      <c r="A7" s="18" t="inlineStr">
        <is>
          <t>دوره برنامه‌ها</t>
        </is>
      </c>
      <c r="B7" s="19" t="inlineStr">
        <is>
          <t>برنامه سه‌روز از 1405/08/04 تا 1405/08/06؛ برنامه بعدی از 1405/08/09 تا 1405/08/10. ردیف‌های تکراری یک محصول جمع شده‌اند.</t>
        </is>
      </c>
    </row>
    <row r="8" ht="58" customHeight="1">
      <c r="A8" s="16" t="inlineStr">
        <is>
          <t>فرمول اصلی</t>
        </is>
      </c>
      <c r="B8" s="17" t="inlineStr">
        <is>
          <t>در صفحه درخواست، برای نمونه فرمول C4 برابر =ROUNDUP(MAX(0,ROUND(I4+J4-G4,10)),0) است: جمع نیاز سه‌روز و بعدی منهای موجودی، حداقل صفر و گرد به بالا. ROUND داخلی فقط خطای نمایش اعشار رایانه را حذف می‌کند.</t>
        </is>
      </c>
    </row>
    <row r="9" ht="58" customHeight="1">
      <c r="A9" s="20" t="inlineStr">
        <is>
          <t>هشدار مهم برنامه قبلی</t>
        </is>
      </c>
      <c r="B9" s="21" t="inlineStr">
        <is>
          <t>چون مقدار واقعی تولید/مصرف‌شده در فایل‌ها نیست، کل برنامه سه‌روز مصرف‌نشده و نیازمند رزرو فرض شده است. اگر بخشی قبلاً مصرف شده، این برآورد ممکن است بیش‌درخواست بدهد. ستون «درخواست فقط برنامه بعدی» سناریوی دیگر است؛ مقادیر دو ستون را با هم جمع نکنید.</t>
        </is>
      </c>
    </row>
    <row r="10" ht="58" customHeight="1">
      <c r="A10" s="16" t="inlineStr">
        <is>
          <t>محاسبه نیاز</t>
        </is>
      </c>
      <c r="B10" s="17" t="inlineStr">
        <is>
          <t>در صفحه جزئیات BOM برای هر ردیف، نیاز سه‌روز = برنامه محصول × ضریب ÷ مبنای BOM × سهم اعمال‌شده ÷ ۱۰۰ است؛ مثلاً S4 =ROUND(Q4*J4/K4*O4/100,10). ستون‌های I و J صفحه درخواست، نیاز همه محصولات را با SUMIF جمع می‌کنند.</t>
        </is>
      </c>
    </row>
    <row r="11" ht="58" customHeight="1">
      <c r="A11" s="18" t="inlineStr">
        <is>
          <t>نسخه BOM</t>
        </is>
      </c>
      <c r="B11" s="19" t="inlineStr">
        <is>
          <t>فقط ردیف‌هایی لحاظ شده‌اند که ستون «تاریخ پایان اعتبار» آنها خالی است؛ ردیف‌های دارای تاریخ پایان، حتی تاریخ آینده، حذف شده‌اند. از نسخه‌های باقی‌مانده که شروعشان تا تاریخ برنامه است، جدیدترین تاریخ شروع انتخاب شده است. شناسه هر نسخه برای تطبیق با شناسه پیش‌فرض موجود نیست؛ انتخاب پیش‌فرض قطعی نیست.</t>
        </is>
      </c>
    </row>
    <row r="12" ht="58" customHeight="1">
      <c r="A12" s="16" t="inlineStr">
        <is>
          <t>نسخه‌های همزمان</t>
        </is>
      </c>
      <c r="B12" s="17" t="inlineStr">
        <is>
          <t>برای محصولات 1201605، 1201643، 1201963 چند نسخه با تاریخ پایان خالی و شروع معتبر همزمان وجود دارد. برای جلوگیری از دوباره‌شماری، فقط جدیدترین نسخه انتخاب شده؛ انتخاب باید توسط مهندسی تأیید شود.</t>
        </is>
      </c>
    </row>
    <row r="13" ht="58" customHeight="1">
      <c r="A13" s="18" t="inlineStr">
        <is>
          <t>قطعات جایگزین</t>
        </is>
      </c>
      <c r="B13" s="19" t="inlineStr">
        <is>
          <t>در گروه‌هایی که درصد استفاده جمعاً ۱۰۰ است، سهم هر قطعه مطابق درصد BOM فرض شده است. اگر هر دو جایگزین ۱۰۰٪ دارند، فقط اولویت اول برای سناریوی اصلی منظور شده تا مصرف دوبرابر نشود. این فرض و مجاز بودن نسبت‌ها باید تأیید شود.</t>
        </is>
      </c>
    </row>
    <row r="14" ht="58" customHeight="1">
      <c r="A14" s="16" t="inlineStr">
        <is>
          <t>سناریوی دیگر جایگزین</t>
        </is>
      </c>
      <c r="B14" s="17" t="inlineStr">
        <is>
          <t>ستون M صفحه درخواست و ستون‌های U و V جزئیات BOM مقادیر اولیه ثابت هستند، نه فرمول. با تغییر برنامه، ضریب یا موجودی به‌روز نمی‌شوند و برای محاسبه مجدد آنها باید فایل را دوباره تولید کرد. این سناریوی تقریبی، موجودی جایگزین‌ها را بر اساس اولویت استفاده می‌کند و لزوماً درصدهای BOM را رعایت نمی‌کند.</t>
        </is>
      </c>
    </row>
    <row r="15" ht="42" customHeight="1">
      <c r="A15" s="18" t="inlineStr">
        <is>
          <t>پای کار</t>
        </is>
      </c>
      <c r="B15" s="19" t="inlineStr">
        <is>
          <t>فقط انبار پای کار مونتاژ ماشینی - جاده مخصوص محاسبه شده است؛ انبار پای کار در BOMهای انتخابی کد ۵۰ است. سایر انبارها برای درخواست قابل برداشت فرض نشده‌اند.</t>
        </is>
      </c>
    </row>
    <row r="16" ht="42" customHeight="1">
      <c r="A16" s="16" t="inlineStr">
        <is>
          <t>سلول موجودی خالی</t>
        </is>
      </c>
      <c r="B16" s="17" t="inlineStr">
        <is>
          <t>برای 25 کد، موجودی انبار پای کار در فایل خالی یا بدون ردیف بود؛ موقتاً صفر فرض شده و وضعیت هر ردیف مشخص است. خالی بودن لزوماً به معنای صفر واقعی نیست.</t>
        </is>
      </c>
    </row>
    <row r="17" ht="58" customHeight="1">
      <c r="A17" s="18" t="inlineStr">
        <is>
          <t>زمان موجودی</t>
        </is>
      </c>
      <c r="B17" s="19" t="inlineStr">
        <is>
          <t>زمان ایجاد فایل موجودی 2026-10-27 است؛ زمان دقیق ثبت خود موجودی در داده‌ها مشخص نیست. اگر مصرف برنامه قبلی پیش از ثبت موجودی انجام شده باشد، جمع کامل برنامه قبلی دوباره‌شماری ایجاد می‌کند.</t>
        </is>
      </c>
    </row>
    <row r="18" ht="42" customHeight="1">
      <c r="A18" s="16" t="inlineStr">
        <is>
          <t>درخواست باز / انبار مواد</t>
        </is>
      </c>
      <c r="B18" s="17" t="inlineStr">
        <is>
          <t>فایل‌های فعلی درخواست باز یا موجودی جاری انبار مواد اولیه را ندارند؛ ستون‌های مربوط عمداً خالی‌اند و از نمونه خروجی قدیمی به‌جای داده جاری استفاده نشده است.</t>
        </is>
      </c>
    </row>
    <row r="19" ht="58" customHeight="1">
      <c r="A19" s="18" t="inlineStr">
        <is>
          <t>زیرمجموعه‌های ۱۲</t>
        </is>
      </c>
      <c r="B19" s="19" t="inlineStr">
        <is>
          <t>قطعه‌های ۱۲ که در BOM محصول دیگری مصرف می‌شوند در خروجی آمده‌اند. تولید برنامه‌ریزی‌شده همان قطعه از درخواستش کم نشده، چون مقدار و زمان تکمیل واقعی معلوم نیست؛ قبل از درخواست انتقال یا خرید بررسی شود. BOM به‌صورت بازگشتی منفجر نشده تا برنامه مستقل زیرمجموعه دوباره‌شماری نشود.</t>
        </is>
      </c>
    </row>
    <row r="20" ht="58" customHeight="1">
      <c r="A20" s="16" t="inlineStr">
        <is>
          <t>سایر فرض‌ها</t>
        </is>
      </c>
      <c r="B20" s="17" t="inlineStr">
        <is>
          <t>ضایعات، درخواست‌های باز، بسته‌بندی، حداقل سفارش و تأمین از انبارهای دیگر لحاظ نشده‌اند. تغییر فایل‌های منبع خارج از این کتاب‌کار خودکار وارد نمی‌شود؛ برای بارگذاری داده‌های جدید، فایل باید دوباره تولید شود.</t>
        </is>
      </c>
    </row>
    <row r="21" ht="42" customHeight="1">
      <c r="A21" s="18" t="inlineStr">
        <is>
          <t>منابع</t>
        </is>
      </c>
      <c r="B21" s="19" t="inlineStr">
        <is>
          <t>bom(1).xlsx | برنامه 3روز.xlsx | برنامه بعدی.xlsx | موجودی به تفکیک انبار (1).xlsx؛ خروجی.xlsx فقط نمونه قالب است.</t>
        </is>
      </c>
    </row>
  </sheetData>
  <mergeCells count="1">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2026-10-31T08:36:52Z</dcterms:created>
  <dcterms:modified xsi:type="dcterms:W3CDTF">2026-10-31T08:36:54Z</dcterms:modified>
</cp:coreProperties>
</file>